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AIYAM PERUMAL\OneDrive\Desktop\Analytics Course files\Project\Excel\"/>
    </mc:Choice>
  </mc:AlternateContent>
  <bookViews>
    <workbookView xWindow="0" yWindow="0" windowWidth="19200" windowHeight="6610" tabRatio="644"/>
  </bookViews>
  <sheets>
    <sheet name="Welcome" sheetId="1" r:id="rId1"/>
    <sheet name="Queries" sheetId="14" r:id="rId2"/>
    <sheet name="UserData" sheetId="2" r:id="rId3"/>
    <sheet name="Attendance" sheetId="3" r:id="rId4"/>
    <sheet name="Tasks" sheetId="6" r:id="rId5"/>
    <sheet name="Cand_Credits" sheetId="8" r:id="rId6"/>
    <sheet name="Task_Credits" sheetId="9" r:id="rId7"/>
    <sheet name="Cand_Dashboard" sheetId="5" r:id="rId8"/>
    <sheet name="Profile" sheetId="13" r:id="rId9"/>
    <sheet name="Fees_Details" sheetId="7" r:id="rId10"/>
    <sheet name="PIVOT" sheetId="12" r:id="rId11"/>
    <sheet name="Charts" sheetId="11" r:id="rId12"/>
    <sheet name="RawData" sheetId="4" r:id="rId13"/>
    <sheet name="Tools" sheetId="10" r:id="rId14"/>
  </sheets>
  <definedNames>
    <definedName name="Slicer_Candidates">#N/A</definedName>
  </definedNames>
  <calcPr calcId="152511"/>
  <pivotCaches>
    <pivotCache cacheId="3"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21" i="5" l="1"/>
  <c r="Y17" i="5"/>
  <c r="O21" i="5"/>
  <c r="O16" i="5"/>
  <c r="O11" i="5"/>
  <c r="B20" i="11" l="1"/>
  <c r="A20" i="11"/>
  <c r="E2" i="8" l="1"/>
  <c r="E3" i="8"/>
  <c r="E4" i="8"/>
  <c r="E5" i="8"/>
  <c r="E6" i="8"/>
  <c r="E7" i="8"/>
  <c r="E8" i="8"/>
  <c r="E9" i="8"/>
  <c r="D3" i="8"/>
  <c r="D4" i="8"/>
  <c r="D5" i="8"/>
  <c r="D6" i="8"/>
  <c r="D7" i="8"/>
  <c r="D8" i="8"/>
  <c r="D9" i="8"/>
  <c r="M9" i="13"/>
  <c r="M7" i="13"/>
  <c r="M8" i="13"/>
  <c r="M6" i="13"/>
  <c r="M3" i="13"/>
  <c r="M4" i="13"/>
  <c r="M5" i="13"/>
  <c r="M2" i="13"/>
  <c r="A8" i="13"/>
  <c r="A9" i="13"/>
  <c r="A3" i="13"/>
  <c r="Y15" i="5" s="1"/>
  <c r="A4" i="13"/>
  <c r="A5" i="13"/>
  <c r="A6" i="13"/>
  <c r="A7" i="13"/>
  <c r="A2" i="13"/>
  <c r="AC14" i="5" l="1"/>
  <c r="Y8" i="5"/>
  <c r="Y10" i="5"/>
  <c r="AC11" i="5"/>
  <c r="Y12" i="5"/>
  <c r="G9" i="10"/>
  <c r="A9" i="10"/>
  <c r="G8" i="10"/>
  <c r="A8" i="10"/>
  <c r="G7" i="10"/>
  <c r="A7" i="10"/>
  <c r="G6" i="10"/>
  <c r="A6" i="10"/>
  <c r="G5" i="10"/>
  <c r="A5" i="10"/>
  <c r="G4" i="10"/>
  <c r="A4" i="10"/>
  <c r="G3" i="10"/>
  <c r="A3" i="10"/>
  <c r="G2" i="10"/>
  <c r="A2" i="10"/>
  <c r="N2" i="4" s="1"/>
  <c r="I20" i="5" s="1"/>
  <c r="G9" i="4"/>
  <c r="F9" i="4"/>
  <c r="C9" i="4"/>
  <c r="B9" i="4"/>
  <c r="D9" i="4" s="1"/>
  <c r="G8" i="4"/>
  <c r="F8" i="4"/>
  <c r="C8" i="4"/>
  <c r="B8" i="4"/>
  <c r="G7" i="4"/>
  <c r="F7" i="4"/>
  <c r="C7" i="4"/>
  <c r="B7" i="4"/>
  <c r="G6" i="4"/>
  <c r="F6" i="4"/>
  <c r="C6" i="4"/>
  <c r="B6" i="4"/>
  <c r="G5" i="4"/>
  <c r="F5" i="4"/>
  <c r="C5" i="4"/>
  <c r="B5" i="4"/>
  <c r="L4" i="4"/>
  <c r="G4" i="4"/>
  <c r="F4" i="4"/>
  <c r="C4" i="4"/>
  <c r="B4" i="4"/>
  <c r="G3" i="4"/>
  <c r="F3" i="4"/>
  <c r="C3" i="4"/>
  <c r="B3" i="4"/>
  <c r="G2" i="4"/>
  <c r="G16" i="5" s="1"/>
  <c r="F2" i="4"/>
  <c r="G11" i="5" s="1"/>
  <c r="C2" i="4"/>
  <c r="B2" i="4"/>
  <c r="C9" i="7"/>
  <c r="A9" i="7"/>
  <c r="C8" i="7"/>
  <c r="A8" i="7"/>
  <c r="C7" i="7"/>
  <c r="A7" i="7"/>
  <c r="C6" i="7"/>
  <c r="A6" i="7"/>
  <c r="C5" i="7"/>
  <c r="A5" i="7"/>
  <c r="C4" i="7"/>
  <c r="A4" i="7"/>
  <c r="C3" i="7"/>
  <c r="A3" i="7"/>
  <c r="C2" i="7"/>
  <c r="A2" i="7"/>
  <c r="C6" i="9"/>
  <c r="L9" i="4" s="1"/>
  <c r="C9" i="8"/>
  <c r="B9" i="8"/>
  <c r="A9" i="8"/>
  <c r="C8" i="8"/>
  <c r="B8" i="8"/>
  <c r="A8" i="8"/>
  <c r="C7" i="8"/>
  <c r="B7" i="8"/>
  <c r="A7" i="8"/>
  <c r="C6" i="8"/>
  <c r="B6" i="8"/>
  <c r="A6" i="8"/>
  <c r="C5" i="8"/>
  <c r="B5" i="8"/>
  <c r="A5" i="8"/>
  <c r="C4" i="8"/>
  <c r="B4" i="8"/>
  <c r="A4" i="8"/>
  <c r="C3" i="8"/>
  <c r="B3" i="8"/>
  <c r="K3" i="4" s="1"/>
  <c r="A3" i="8"/>
  <c r="D2" i="8"/>
  <c r="C2" i="8"/>
  <c r="B2" i="8"/>
  <c r="A2" i="8"/>
  <c r="A9" i="6"/>
  <c r="A8" i="6"/>
  <c r="A7" i="6"/>
  <c r="A6" i="6"/>
  <c r="A5" i="6"/>
  <c r="A4" i="6"/>
  <c r="A3" i="6"/>
  <c r="A2" i="6"/>
  <c r="A9" i="3"/>
  <c r="A8" i="3"/>
  <c r="A7" i="3"/>
  <c r="A6" i="3"/>
  <c r="A5" i="3"/>
  <c r="A4" i="3"/>
  <c r="A3" i="3"/>
  <c r="A2" i="3"/>
  <c r="C13" i="5" l="1"/>
  <c r="C9" i="5"/>
  <c r="H6" i="4"/>
  <c r="K6" i="4"/>
  <c r="K2" i="4"/>
  <c r="J8" i="5" s="1"/>
  <c r="K4" i="4"/>
  <c r="M4" i="4" s="1"/>
  <c r="K8" i="4"/>
  <c r="L8" i="4"/>
  <c r="L3" i="4"/>
  <c r="K5" i="4"/>
  <c r="K7" i="4"/>
  <c r="K9" i="4"/>
  <c r="M9" i="4" s="1"/>
  <c r="L7" i="4"/>
  <c r="L2" i="4"/>
  <c r="J14" i="5" s="1"/>
  <c r="L6" i="4"/>
  <c r="L5" i="4"/>
  <c r="H5" i="4"/>
  <c r="D6" i="4"/>
  <c r="E6" i="4" s="1"/>
  <c r="H8" i="4"/>
  <c r="H7" i="4"/>
  <c r="H4" i="4"/>
  <c r="H3" i="4"/>
  <c r="O8" i="4"/>
  <c r="O4" i="4"/>
  <c r="M3" i="4"/>
  <c r="N5" i="4"/>
  <c r="N7" i="4"/>
  <c r="N3" i="4"/>
  <c r="D8" i="4"/>
  <c r="E8" i="4" s="1"/>
  <c r="D4" i="4"/>
  <c r="E4" i="4" s="1"/>
  <c r="D5" i="4"/>
  <c r="E5" i="4" s="1"/>
  <c r="H9" i="4"/>
  <c r="J8" i="4"/>
  <c r="D2" i="4"/>
  <c r="H2" i="4"/>
  <c r="G8" i="5" s="1"/>
  <c r="D3" i="4"/>
  <c r="E3" i="4" s="1"/>
  <c r="P3" i="4" s="1"/>
  <c r="E9" i="4"/>
  <c r="I2" i="4"/>
  <c r="E13" i="5" s="1"/>
  <c r="O9" i="4"/>
  <c r="I5" i="4"/>
  <c r="D7" i="4"/>
  <c r="E7" i="4" s="1"/>
  <c r="N9" i="4"/>
  <c r="I9" i="4"/>
  <c r="J7" i="4"/>
  <c r="O5" i="4"/>
  <c r="I6" i="4"/>
  <c r="J2" i="4"/>
  <c r="E18" i="5" s="1"/>
  <c r="N4" i="4"/>
  <c r="J6" i="4"/>
  <c r="N8" i="4"/>
  <c r="J9" i="4"/>
  <c r="I8" i="4"/>
  <c r="J5" i="4"/>
  <c r="O3" i="4"/>
  <c r="I4" i="4"/>
  <c r="O7" i="4"/>
  <c r="J4" i="4"/>
  <c r="N6" i="4"/>
  <c r="O2" i="4"/>
  <c r="O7" i="5" s="1"/>
  <c r="I3" i="4"/>
  <c r="O6" i="4"/>
  <c r="I7" i="4"/>
  <c r="J3" i="4"/>
  <c r="C17" i="5" l="1"/>
  <c r="P4" i="4"/>
  <c r="T10" i="5"/>
  <c r="S10" i="5" s="1"/>
  <c r="M6" i="4"/>
  <c r="T8" i="5"/>
  <c r="S8" i="5" s="1"/>
  <c r="P9" i="4"/>
  <c r="M5" i="4"/>
  <c r="M8" i="4"/>
  <c r="T9" i="5"/>
  <c r="S9" i="5" s="1"/>
  <c r="M7" i="4"/>
  <c r="P7" i="4"/>
  <c r="P8" i="4"/>
  <c r="M2" i="4"/>
  <c r="L9" i="5" s="1"/>
  <c r="P6" i="4"/>
  <c r="P5" i="4"/>
  <c r="E2" i="4"/>
  <c r="E9" i="5" s="1"/>
  <c r="P2" i="4" l="1"/>
  <c r="U14" i="5" s="1"/>
  <c r="S14" i="5" s="1"/>
</calcChain>
</file>

<file path=xl/sharedStrings.xml><?xml version="1.0" encoding="utf-8"?>
<sst xmlns="http://schemas.openxmlformats.org/spreadsheetml/2006/main" count="325" uniqueCount="106">
  <si>
    <t>Username</t>
  </si>
  <si>
    <t>Password</t>
  </si>
  <si>
    <t>Aiyam</t>
  </si>
  <si>
    <t>Sana</t>
  </si>
  <si>
    <t>Rehan</t>
  </si>
  <si>
    <t>Manisha</t>
  </si>
  <si>
    <t>Pranav</t>
  </si>
  <si>
    <t>Subbu</t>
  </si>
  <si>
    <t>Bala</t>
  </si>
  <si>
    <t>Names/Sessions</t>
  </si>
  <si>
    <t>Candidates</t>
  </si>
  <si>
    <t>Rohith</t>
  </si>
  <si>
    <t>Madhav krishna</t>
  </si>
  <si>
    <t>Karthick Pranav</t>
  </si>
  <si>
    <t>Hariharan</t>
  </si>
  <si>
    <t>Session1</t>
  </si>
  <si>
    <t>Session2</t>
  </si>
  <si>
    <t>Session3</t>
  </si>
  <si>
    <t>Session4</t>
  </si>
  <si>
    <t>Session5</t>
  </si>
  <si>
    <t>Session6</t>
  </si>
  <si>
    <t>Present</t>
  </si>
  <si>
    <t>Absent</t>
  </si>
  <si>
    <t>Present Count</t>
  </si>
  <si>
    <t>Absent Count</t>
  </si>
  <si>
    <t>Total Session</t>
  </si>
  <si>
    <t>Candidate/Tasks</t>
  </si>
  <si>
    <t>Attendance Percent</t>
  </si>
  <si>
    <t>Task1- ETL</t>
  </si>
  <si>
    <t>Task2-Table Creation</t>
  </si>
  <si>
    <t>Completed</t>
  </si>
  <si>
    <t xml:space="preserve">Not Completed </t>
  </si>
  <si>
    <t>Task Completed Count</t>
  </si>
  <si>
    <t>Task Remaining Count</t>
  </si>
  <si>
    <t>Total Tasks</t>
  </si>
  <si>
    <t>Fees Paid</t>
  </si>
  <si>
    <t>Remaining amount</t>
  </si>
  <si>
    <t>Fee Paid</t>
  </si>
  <si>
    <t>Reamining Fee</t>
  </si>
  <si>
    <t>Last Login Time</t>
  </si>
  <si>
    <t>Credits</t>
  </si>
  <si>
    <t>Column1</t>
  </si>
  <si>
    <t>TOTAL</t>
  </si>
  <si>
    <t>Score</t>
  </si>
  <si>
    <t>Total Credits</t>
  </si>
  <si>
    <t>Rating</t>
  </si>
  <si>
    <t>Task 3 - Datatypes</t>
  </si>
  <si>
    <t>Tools Installed</t>
  </si>
  <si>
    <t>MySql,Python,PowerBi,GitHub</t>
  </si>
  <si>
    <t>Tools</t>
  </si>
  <si>
    <t>Github Profile</t>
  </si>
  <si>
    <t>https://github.com/AiyamPerumal0404</t>
  </si>
  <si>
    <t>Not Updated</t>
  </si>
  <si>
    <t>Github</t>
  </si>
  <si>
    <t xml:space="preserve">
</t>
  </si>
  <si>
    <t>Overall Percentage</t>
  </si>
  <si>
    <t>Alert Message</t>
  </si>
  <si>
    <t>Row Labels</t>
  </si>
  <si>
    <t>Total</t>
  </si>
  <si>
    <t>Score Obtained</t>
  </si>
  <si>
    <t>Sex</t>
  </si>
  <si>
    <t>Degree</t>
  </si>
  <si>
    <t>College</t>
  </si>
  <si>
    <t>Domain</t>
  </si>
  <si>
    <t>Profession</t>
  </si>
  <si>
    <t>Passed Out at</t>
  </si>
  <si>
    <t>Company</t>
  </si>
  <si>
    <t>Male</t>
  </si>
  <si>
    <t>Female</t>
  </si>
  <si>
    <t>B.E</t>
  </si>
  <si>
    <t>MCA</t>
  </si>
  <si>
    <t>BCA</t>
  </si>
  <si>
    <t>MBA</t>
  </si>
  <si>
    <t>Bcom</t>
  </si>
  <si>
    <t>Mcom</t>
  </si>
  <si>
    <t>M.E</t>
  </si>
  <si>
    <t>Abc</t>
  </si>
  <si>
    <t>Computer Science</t>
  </si>
  <si>
    <t>Mechanical</t>
  </si>
  <si>
    <t>Business</t>
  </si>
  <si>
    <t>Working</t>
  </si>
  <si>
    <t>Student</t>
  </si>
  <si>
    <t>Mphasis</t>
  </si>
  <si>
    <t>ABC</t>
  </si>
  <si>
    <t>NA</t>
  </si>
  <si>
    <t>XYZ</t>
  </si>
  <si>
    <t>Intern Task</t>
  </si>
  <si>
    <t>Completion Status</t>
  </si>
  <si>
    <t>Candidate Activity Tracker</t>
  </si>
  <si>
    <t>Management</t>
  </si>
  <si>
    <t>Finance</t>
  </si>
  <si>
    <t>Targeted Company</t>
  </si>
  <si>
    <t>Adobe</t>
  </si>
  <si>
    <t>Veltect Engg College</t>
  </si>
  <si>
    <t>Task 4 - Derived Tables</t>
  </si>
  <si>
    <t>Session7</t>
  </si>
  <si>
    <t>Session8</t>
  </si>
  <si>
    <t>Name</t>
  </si>
  <si>
    <t>Phone No</t>
  </si>
  <si>
    <t>Email</t>
  </si>
  <si>
    <t>Doubt type</t>
  </si>
  <si>
    <t>Query in detail</t>
  </si>
  <si>
    <t>Date&amp;Time</t>
  </si>
  <si>
    <t>aiyamperumal1999@gmail.com</t>
  </si>
  <si>
    <t>Average of Overall Percentage</t>
  </si>
  <si>
    <t>All the best for Mock Interview.Please join on time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</si>
</sst>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
    <numFmt numFmtId="165" formatCode="[$-F800]dddd\,\ mmmm\ dd\,\ yyyy"/>
    <numFmt numFmtId="166" formatCode="&quot;₹&quot;\ #,##0.00"/>
  </numFmts>
  <fonts count="13" x14ac:knownFonts="1">
    <font>
      <sz val="11"/>
      <color theme="1"/>
      <name val="Calibri"/>
      <family val="2"/>
      <scheme val="minor"/>
    </font>
    <font>
      <sz val="7"/>
      <color rgb="FF111827"/>
      <name val="Courier New"/>
      <family val="3"/>
    </font>
    <font>
      <b/>
      <sz val="11"/>
      <color theme="1"/>
      <name val="Calibri"/>
      <family val="2"/>
      <scheme val="minor"/>
    </font>
    <font>
      <u/>
      <sz val="11"/>
      <color theme="10"/>
      <name val="Calibri"/>
      <family val="2"/>
      <scheme val="minor"/>
    </font>
    <font>
      <b/>
      <sz val="14"/>
      <color theme="1"/>
      <name val="Calibri"/>
      <family val="2"/>
      <scheme val="minor"/>
    </font>
    <font>
      <b/>
      <sz val="16"/>
      <color theme="1"/>
      <name val="Calibri"/>
      <family val="2"/>
      <scheme val="minor"/>
    </font>
    <font>
      <b/>
      <sz val="14"/>
      <color rgb="FFFF0000"/>
      <name val="Calibri"/>
      <family val="2"/>
      <scheme val="minor"/>
    </font>
    <font>
      <b/>
      <sz val="18"/>
      <color theme="1"/>
      <name val="Calibri"/>
      <family val="2"/>
      <scheme val="minor"/>
    </font>
    <font>
      <b/>
      <sz val="13"/>
      <color theme="1"/>
      <name val="Calibri"/>
      <family val="2"/>
      <scheme val="minor"/>
    </font>
    <font>
      <b/>
      <u/>
      <sz val="12"/>
      <color theme="10"/>
      <name val="Calibri"/>
      <family val="2"/>
      <scheme val="minor"/>
    </font>
    <font>
      <b/>
      <sz val="11"/>
      <color theme="0"/>
      <name val="Calibri"/>
      <family val="2"/>
      <scheme val="minor"/>
    </font>
    <font>
      <b/>
      <sz val="12"/>
      <color theme="1"/>
      <name val="Calibri"/>
      <family val="2"/>
      <scheme val="minor"/>
    </font>
    <font>
      <b/>
      <sz val="12"/>
      <color rgb="FFFF0000"/>
      <name val="Arial Black"/>
      <family val="2"/>
    </font>
  </fonts>
  <fills count="6">
    <fill>
      <patternFill patternType="none"/>
    </fill>
    <fill>
      <patternFill patternType="gray125"/>
    </fill>
    <fill>
      <patternFill patternType="solid">
        <fgColor rgb="FFFFFF00"/>
        <bgColor indexed="64"/>
      </patternFill>
    </fill>
    <fill>
      <patternFill patternType="solid">
        <fgColor rgb="FFFFFF66"/>
        <bgColor indexed="64"/>
      </patternFill>
    </fill>
    <fill>
      <patternFill patternType="solid">
        <fgColor theme="4" tint="0.79998168889431442"/>
        <bgColor theme="4" tint="0.79998168889431442"/>
      </patternFill>
    </fill>
    <fill>
      <patternFill patternType="solid">
        <fgColor theme="4"/>
        <bgColor theme="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s>
  <cellStyleXfs count="2">
    <xf numFmtId="0" fontId="0" fillId="0" borderId="0"/>
    <xf numFmtId="0" fontId="3" fillId="0" borderId="0" applyNumberFormat="0" applyFill="0" applyBorder="0" applyAlignment="0" applyProtection="0"/>
  </cellStyleXfs>
  <cellXfs count="60">
    <xf numFmtId="0" fontId="0" fillId="0" borderId="0" xfId="0"/>
    <xf numFmtId="164" fontId="0" fillId="0" borderId="0" xfId="0" applyNumberFormat="1"/>
    <xf numFmtId="0" fontId="0" fillId="0" borderId="0" xfId="0" applyNumberFormat="1"/>
    <xf numFmtId="165" fontId="0" fillId="0" borderId="0" xfId="0" applyNumberFormat="1"/>
    <xf numFmtId="10" fontId="0" fillId="0" borderId="0" xfId="0" applyNumberFormat="1"/>
    <xf numFmtId="14" fontId="1" fillId="0" borderId="0" xfId="0" applyNumberFormat="1" applyFont="1"/>
    <xf numFmtId="0" fontId="0" fillId="0" borderId="0" xfId="0" applyProtection="1">
      <protection locked="0"/>
    </xf>
    <xf numFmtId="22" fontId="0" fillId="0" borderId="0" xfId="0" applyNumberFormat="1"/>
    <xf numFmtId="0" fontId="2" fillId="2" borderId="0" xfId="0" applyFont="1" applyFill="1"/>
    <xf numFmtId="0" fontId="3" fillId="0" borderId="0" xfId="1"/>
    <xf numFmtId="0" fontId="0" fillId="0" borderId="0" xfId="0" applyAlignment="1">
      <alignment wrapText="1"/>
    </xf>
    <xf numFmtId="0" fontId="0" fillId="0" borderId="0" xfId="0" applyAlignment="1">
      <alignment vertical="top"/>
    </xf>
    <xf numFmtId="0" fontId="0" fillId="3" borderId="0" xfId="0" applyFill="1"/>
    <xf numFmtId="0" fontId="0" fillId="3" borderId="0" xfId="0" applyFill="1" applyAlignment="1">
      <alignment wrapText="1"/>
    </xf>
    <xf numFmtId="0" fontId="5" fillId="3" borderId="0" xfId="0" applyFont="1" applyFill="1" applyAlignment="1">
      <alignment horizontal="right" vertical="center"/>
    </xf>
    <xf numFmtId="0" fontId="0" fillId="3" borderId="0" xfId="0" applyFill="1" applyAlignment="1">
      <alignment horizontal="right"/>
    </xf>
    <xf numFmtId="9" fontId="5" fillId="3" borderId="0" xfId="0" applyNumberFormat="1" applyFont="1" applyFill="1" applyAlignment="1">
      <alignment horizontal="center" vertical="center"/>
    </xf>
    <xf numFmtId="0" fontId="0" fillId="3" borderId="0" xfId="0" applyFill="1" applyAlignment="1"/>
    <xf numFmtId="164" fontId="0" fillId="3" borderId="0" xfId="0" applyNumberFormat="1" applyFill="1"/>
    <xf numFmtId="22" fontId="2" fillId="3" borderId="0" xfId="0" applyNumberFormat="1" applyFont="1" applyFill="1" applyAlignment="1">
      <alignment wrapText="1"/>
    </xf>
    <xf numFmtId="0" fontId="5" fillId="3" borderId="0" xfId="0" applyFont="1" applyFill="1" applyAlignment="1">
      <alignment horizontal="center" vertical="center"/>
    </xf>
    <xf numFmtId="0" fontId="0" fillId="0" borderId="0" xfId="0" pivotButton="1"/>
    <xf numFmtId="0" fontId="0" fillId="0" borderId="0" xfId="0" applyAlignment="1">
      <alignment horizontal="left"/>
    </xf>
    <xf numFmtId="9" fontId="0" fillId="0" borderId="0" xfId="0" applyNumberFormat="1"/>
    <xf numFmtId="0" fontId="2" fillId="0" borderId="0" xfId="0" applyFont="1"/>
    <xf numFmtId="0" fontId="0" fillId="3" borderId="0" xfId="0" applyFill="1" applyAlignment="1">
      <alignment horizontal="center"/>
    </xf>
    <xf numFmtId="0" fontId="6" fillId="3" borderId="2" xfId="0" applyFont="1" applyFill="1" applyBorder="1" applyAlignment="1">
      <alignment horizontal="center" vertical="center" wrapText="1"/>
    </xf>
    <xf numFmtId="9" fontId="5" fillId="3" borderId="2" xfId="0" applyNumberFormat="1" applyFont="1" applyFill="1" applyBorder="1" applyAlignment="1">
      <alignment horizontal="center" vertical="center"/>
    </xf>
    <xf numFmtId="0" fontId="7" fillId="3" borderId="2" xfId="0" applyFont="1" applyFill="1" applyBorder="1" applyAlignment="1">
      <alignment horizontal="center" vertical="center"/>
    </xf>
    <xf numFmtId="0" fontId="5" fillId="3" borderId="2" xfId="0" applyFont="1" applyFill="1" applyBorder="1" applyAlignment="1">
      <alignment horizontal="center" vertical="center"/>
    </xf>
    <xf numFmtId="0" fontId="4" fillId="3" borderId="2" xfId="0" applyFont="1" applyFill="1" applyBorder="1" applyAlignment="1">
      <alignment horizontal="center"/>
    </xf>
    <xf numFmtId="0" fontId="5" fillId="3" borderId="2" xfId="0" applyFont="1" applyFill="1" applyBorder="1" applyAlignment="1">
      <alignment horizontal="center" wrapText="1"/>
    </xf>
    <xf numFmtId="0" fontId="4" fillId="3" borderId="1" xfId="0" applyFont="1" applyFill="1" applyBorder="1" applyAlignment="1">
      <alignment horizontal="center" vertical="center"/>
    </xf>
    <xf numFmtId="0" fontId="2" fillId="2" borderId="0" xfId="0" applyFont="1" applyFill="1" applyAlignment="1">
      <alignment horizontal="center"/>
    </xf>
    <xf numFmtId="22" fontId="2" fillId="2" borderId="0" xfId="0" applyNumberFormat="1" applyFont="1" applyFill="1" applyAlignment="1">
      <alignment horizontal="center"/>
    </xf>
    <xf numFmtId="10" fontId="0" fillId="4" borderId="6" xfId="0" applyNumberFormat="1" applyFont="1" applyFill="1" applyBorder="1"/>
    <xf numFmtId="10" fontId="0" fillId="4" borderId="7" xfId="0" applyNumberFormat="1" applyFont="1" applyFill="1" applyBorder="1"/>
    <xf numFmtId="0" fontId="10" fillId="5" borderId="8" xfId="0" applyFont="1" applyFill="1" applyBorder="1"/>
    <xf numFmtId="0" fontId="10" fillId="5" borderId="9" xfId="0" applyFont="1" applyFill="1" applyBorder="1"/>
    <xf numFmtId="0" fontId="0" fillId="3" borderId="0" xfId="0" applyFill="1" applyAlignment="1">
      <alignment horizontal="center"/>
    </xf>
    <xf numFmtId="0" fontId="0" fillId="3" borderId="4" xfId="0" applyFill="1" applyBorder="1"/>
    <xf numFmtId="0" fontId="11" fillId="3" borderId="3" xfId="0" applyFont="1" applyFill="1" applyBorder="1" applyAlignment="1">
      <alignment horizontal="center"/>
    </xf>
    <xf numFmtId="0" fontId="5" fillId="3" borderId="3" xfId="0" applyFont="1" applyFill="1" applyBorder="1" applyAlignment="1">
      <alignment horizontal="center" vertical="center"/>
    </xf>
    <xf numFmtId="0" fontId="5" fillId="3" borderId="4" xfId="0" applyFont="1" applyFill="1" applyBorder="1" applyAlignment="1">
      <alignment horizontal="center" vertical="center"/>
    </xf>
    <xf numFmtId="0" fontId="9" fillId="3" borderId="0" xfId="1" applyFont="1" applyFill="1" applyAlignment="1">
      <alignment horizontal="left" vertical="center" wrapText="1"/>
    </xf>
    <xf numFmtId="0" fontId="5" fillId="3" borderId="0" xfId="0" applyFont="1" applyFill="1" applyAlignment="1">
      <alignment horizontal="center" vertical="center"/>
    </xf>
    <xf numFmtId="166" fontId="8" fillId="3" borderId="0" xfId="0" applyNumberFormat="1" applyFont="1" applyFill="1" applyAlignment="1">
      <alignment horizontal="center" vertical="center"/>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3" xfId="0" applyFont="1" applyFill="1" applyBorder="1" applyAlignment="1">
      <alignment horizontal="center" vertical="top" wrapText="1"/>
    </xf>
    <xf numFmtId="0" fontId="4" fillId="3" borderId="4" xfId="0" applyFont="1" applyFill="1" applyBorder="1" applyAlignment="1">
      <alignment horizontal="center" vertical="top" wrapText="1"/>
    </xf>
    <xf numFmtId="0" fontId="0" fillId="3" borderId="0" xfId="0" applyFill="1" applyAlignment="1"/>
    <xf numFmtId="0" fontId="0" fillId="3" borderId="0" xfId="0" applyFill="1" applyAlignment="1">
      <alignment horizontal="center"/>
    </xf>
    <xf numFmtId="0" fontId="5" fillId="3" borderId="3" xfId="0" applyFont="1" applyFill="1" applyBorder="1" applyAlignment="1">
      <alignment horizontal="center" vertical="top" wrapText="1"/>
    </xf>
    <xf numFmtId="0" fontId="5" fillId="3" borderId="4" xfId="0" applyFont="1" applyFill="1" applyBorder="1" applyAlignment="1">
      <alignment horizontal="center" vertical="top" wrapText="1"/>
    </xf>
    <xf numFmtId="0" fontId="9" fillId="3" borderId="5" xfId="1" applyFont="1" applyFill="1" applyBorder="1" applyAlignment="1">
      <alignment horizontal="left" vertical="center" wrapText="1"/>
    </xf>
    <xf numFmtId="0" fontId="5" fillId="3" borderId="0" xfId="0" applyFont="1" applyFill="1" applyAlignment="1">
      <alignment horizontal="center"/>
    </xf>
    <xf numFmtId="0" fontId="4" fillId="3" borderId="0" xfId="0" applyFont="1" applyFill="1" applyAlignment="1">
      <alignment horizontal="center"/>
    </xf>
    <xf numFmtId="0" fontId="0" fillId="3" borderId="0" xfId="0" applyFill="1"/>
    <xf numFmtId="0" fontId="12" fillId="3" borderId="0" xfId="0" applyFont="1" applyFill="1" applyAlignment="1">
      <alignment horizontal="left" indent="2"/>
    </xf>
  </cellXfs>
  <cellStyles count="2">
    <cellStyle name="Hyperlink" xfId="1" builtinId="8"/>
    <cellStyle name="Normal" xfId="0" builtinId="0"/>
  </cellStyles>
  <dxfs count="21">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0" formatCode="General"/>
    </dxf>
    <dxf>
      <numFmt numFmtId="0" formatCode="General"/>
    </dxf>
    <dxf>
      <numFmt numFmtId="0" formatCode="General"/>
    </dxf>
    <dxf>
      <numFmt numFmtId="14" formatCode="0.00%"/>
    </dxf>
    <dxf>
      <font>
        <b/>
      </font>
    </dxf>
    <dxf>
      <numFmt numFmtId="0" formatCode="General"/>
    </dxf>
    <dxf>
      <protection locked="0" hidden="0"/>
    </dxf>
    <dxf>
      <numFmt numFmtId="165" formatCode="[$-F800]dddd\,\ mmmm\ dd\,\ yyyy"/>
    </dxf>
    <dxf>
      <numFmt numFmtId="167" formatCode="m/d/yyyy\ h:mm"/>
    </dxf>
  </dxfs>
  <tableStyles count="0" defaultTableStyle="TableStyleMedium2" defaultPivotStyle="PivotStyleLight16"/>
  <colors>
    <mruColors>
      <color rgb="FFFFFF66"/>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 Final.xlsm]PIVOT!PivotTable1</c:name>
    <c:fmtId val="1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Attendance</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bar"/>
        <c:grouping val="clustered"/>
        <c:varyColors val="0"/>
        <c:ser>
          <c:idx val="0"/>
          <c:order val="0"/>
          <c:tx>
            <c:strRef>
              <c:f>PIVOT!$B$3</c:f>
              <c:strCache>
                <c:ptCount val="1"/>
                <c:pt idx="0">
                  <c:v>Present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PIVOT!$A$4:$A$11</c:f>
              <c:strCache>
                <c:ptCount val="8"/>
                <c:pt idx="0">
                  <c:v>Aiyam</c:v>
                </c:pt>
                <c:pt idx="1">
                  <c:v>Hariharan</c:v>
                </c:pt>
                <c:pt idx="2">
                  <c:v>Karthick Pranav</c:v>
                </c:pt>
                <c:pt idx="3">
                  <c:v>Madhav krishna</c:v>
                </c:pt>
                <c:pt idx="4">
                  <c:v>Manisha</c:v>
                </c:pt>
                <c:pt idx="5">
                  <c:v>Rehan</c:v>
                </c:pt>
                <c:pt idx="6">
                  <c:v>Rohith</c:v>
                </c:pt>
                <c:pt idx="7">
                  <c:v>Sana</c:v>
                </c:pt>
              </c:strCache>
            </c:strRef>
          </c:cat>
          <c:val>
            <c:numRef>
              <c:f>PIVOT!$B$4:$B$11</c:f>
              <c:numCache>
                <c:formatCode>General</c:formatCode>
                <c:ptCount val="8"/>
                <c:pt idx="0">
                  <c:v>8</c:v>
                </c:pt>
                <c:pt idx="1">
                  <c:v>3</c:v>
                </c:pt>
                <c:pt idx="2">
                  <c:v>7</c:v>
                </c:pt>
                <c:pt idx="3">
                  <c:v>7</c:v>
                </c:pt>
                <c:pt idx="4">
                  <c:v>5</c:v>
                </c:pt>
                <c:pt idx="5">
                  <c:v>7</c:v>
                </c:pt>
                <c:pt idx="6">
                  <c:v>5</c:v>
                </c:pt>
                <c:pt idx="7">
                  <c:v>6</c:v>
                </c:pt>
              </c:numCache>
            </c:numRef>
          </c:val>
        </c:ser>
        <c:ser>
          <c:idx val="1"/>
          <c:order val="1"/>
          <c:tx>
            <c:strRef>
              <c:f>PIVOT!$C$3</c:f>
              <c:strCache>
                <c:ptCount val="1"/>
                <c:pt idx="0">
                  <c:v>Absent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PIVOT!$A$4:$A$11</c:f>
              <c:strCache>
                <c:ptCount val="8"/>
                <c:pt idx="0">
                  <c:v>Aiyam</c:v>
                </c:pt>
                <c:pt idx="1">
                  <c:v>Hariharan</c:v>
                </c:pt>
                <c:pt idx="2">
                  <c:v>Karthick Pranav</c:v>
                </c:pt>
                <c:pt idx="3">
                  <c:v>Madhav krishna</c:v>
                </c:pt>
                <c:pt idx="4">
                  <c:v>Manisha</c:v>
                </c:pt>
                <c:pt idx="5">
                  <c:v>Rehan</c:v>
                </c:pt>
                <c:pt idx="6">
                  <c:v>Rohith</c:v>
                </c:pt>
                <c:pt idx="7">
                  <c:v>Sana</c:v>
                </c:pt>
              </c:strCache>
            </c:strRef>
          </c:cat>
          <c:val>
            <c:numRef>
              <c:f>PIVOT!$C$4:$C$11</c:f>
              <c:numCache>
                <c:formatCode>General</c:formatCode>
                <c:ptCount val="8"/>
                <c:pt idx="0">
                  <c:v>0</c:v>
                </c:pt>
                <c:pt idx="1">
                  <c:v>5</c:v>
                </c:pt>
                <c:pt idx="2">
                  <c:v>1</c:v>
                </c:pt>
                <c:pt idx="3">
                  <c:v>1</c:v>
                </c:pt>
                <c:pt idx="4">
                  <c:v>3</c:v>
                </c:pt>
                <c:pt idx="5">
                  <c:v>1</c:v>
                </c:pt>
                <c:pt idx="6">
                  <c:v>3</c:v>
                </c:pt>
                <c:pt idx="7">
                  <c:v>2</c:v>
                </c:pt>
              </c:numCache>
            </c:numRef>
          </c:val>
        </c:ser>
        <c:ser>
          <c:idx val="2"/>
          <c:order val="2"/>
          <c:tx>
            <c:strRef>
              <c:f>PIVOT!$D$3</c:f>
              <c:strCache>
                <c:ptCount val="1"/>
                <c:pt idx="0">
                  <c:v>Total</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PIVOT!$A$4:$A$11</c:f>
              <c:strCache>
                <c:ptCount val="8"/>
                <c:pt idx="0">
                  <c:v>Aiyam</c:v>
                </c:pt>
                <c:pt idx="1">
                  <c:v>Hariharan</c:v>
                </c:pt>
                <c:pt idx="2">
                  <c:v>Karthick Pranav</c:v>
                </c:pt>
                <c:pt idx="3">
                  <c:v>Madhav krishna</c:v>
                </c:pt>
                <c:pt idx="4">
                  <c:v>Manisha</c:v>
                </c:pt>
                <c:pt idx="5">
                  <c:v>Rehan</c:v>
                </c:pt>
                <c:pt idx="6">
                  <c:v>Rohith</c:v>
                </c:pt>
                <c:pt idx="7">
                  <c:v>Sana</c:v>
                </c:pt>
              </c:strCache>
            </c:strRef>
          </c:cat>
          <c:val>
            <c:numRef>
              <c:f>PIVOT!$D$4:$D$11</c:f>
              <c:numCache>
                <c:formatCode>General</c:formatCode>
                <c:ptCount val="8"/>
                <c:pt idx="0">
                  <c:v>8</c:v>
                </c:pt>
                <c:pt idx="1">
                  <c:v>8</c:v>
                </c:pt>
                <c:pt idx="2">
                  <c:v>8</c:v>
                </c:pt>
                <c:pt idx="3">
                  <c:v>8</c:v>
                </c:pt>
                <c:pt idx="4">
                  <c:v>8</c:v>
                </c:pt>
                <c:pt idx="5">
                  <c:v>8</c:v>
                </c:pt>
                <c:pt idx="6">
                  <c:v>8</c:v>
                </c:pt>
                <c:pt idx="7">
                  <c:v>8</c:v>
                </c:pt>
              </c:numCache>
            </c:numRef>
          </c:val>
        </c:ser>
        <c:dLbls>
          <c:showLegendKey val="0"/>
          <c:showVal val="0"/>
          <c:showCatName val="0"/>
          <c:showSerName val="0"/>
          <c:showPercent val="0"/>
          <c:showBubbleSize val="0"/>
        </c:dLbls>
        <c:gapWidth val="115"/>
        <c:overlap val="-20"/>
        <c:axId val="-631243088"/>
        <c:axId val="-631236016"/>
      </c:barChart>
      <c:catAx>
        <c:axId val="-63124308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31236016"/>
        <c:crosses val="autoZero"/>
        <c:auto val="1"/>
        <c:lblAlgn val="ctr"/>
        <c:lblOffset val="100"/>
        <c:noMultiLvlLbl val="0"/>
      </c:catAx>
      <c:valAx>
        <c:axId val="-631236016"/>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3124308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 Final.xlsm]PIVOT!PivotTable3</c:name>
    <c:fmtId val="15"/>
  </c:pivotSource>
  <c:chart>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dLbl>
          <c:idx val="0"/>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
        <c:spPr>
          <a:solidFill>
            <a:schemeClr val="accent1"/>
          </a:solidFill>
          <a:ln>
            <a:noFill/>
          </a:ln>
          <a:effectLst/>
          <a:sp3d/>
        </c:spPr>
        <c:marker>
          <c:symbol val="none"/>
        </c:marker>
        <c:dLbl>
          <c:idx val="0"/>
          <c:layout/>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5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15:layout/>
            </c:ext>
          </c:extLst>
        </c:dLbl>
      </c:pivotFmt>
      <c:pivotFmt>
        <c:idx val="6"/>
        <c:spPr>
          <a:solidFill>
            <a:schemeClr val="accent2"/>
          </a:solidFill>
          <a:ln>
            <a:noFill/>
          </a:ln>
          <a:effectLst/>
          <a:sp3d/>
        </c:spPr>
        <c:dLbl>
          <c:idx val="0"/>
          <c:layout>
            <c:manualLayout>
              <c:x val="2.5700934579439231E-2"/>
              <c:y val="9.5693779904306216E-3"/>
            </c:manualLayout>
          </c:layout>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5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15:layout/>
            </c:ext>
          </c:extLst>
        </c:dLbl>
      </c:pivotFmt>
    </c:pivotFmts>
    <c:view3D>
      <c:rotX val="10"/>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PIVOT!$G$3</c:f>
              <c:strCache>
                <c:ptCount val="1"/>
                <c:pt idx="0">
                  <c:v>Score Obtained</c:v>
                </c:pt>
              </c:strCache>
            </c:strRef>
          </c:tx>
          <c:spPr>
            <a:solidFill>
              <a:schemeClr val="accent1"/>
            </a:solidFill>
            <a:ln>
              <a:noFill/>
            </a:ln>
            <a:effectLst/>
            <a:sp3d/>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15:showLeaderLines val="1"/>
                <c15:leaderLines>
                  <c:spPr>
                    <a:ln w="9525" cap="flat" cmpd="sng" algn="ctr">
                      <a:solidFill>
                        <a:schemeClr val="tx1">
                          <a:lumMod val="35000"/>
                          <a:lumOff val="65000"/>
                        </a:schemeClr>
                      </a:solidFill>
                      <a:round/>
                    </a:ln>
                    <a:effectLst/>
                  </c:spPr>
                </c15:leaderLines>
              </c:ext>
            </c:extLst>
          </c:dLbls>
          <c:cat>
            <c:strRef>
              <c:f>PIVOT!$F$4:$F$11</c:f>
              <c:strCache>
                <c:ptCount val="8"/>
                <c:pt idx="0">
                  <c:v>Aiyam</c:v>
                </c:pt>
                <c:pt idx="1">
                  <c:v>Hariharan</c:v>
                </c:pt>
                <c:pt idx="2">
                  <c:v>Karthick Pranav</c:v>
                </c:pt>
                <c:pt idx="3">
                  <c:v>Madhav krishna</c:v>
                </c:pt>
                <c:pt idx="4">
                  <c:v>Manisha</c:v>
                </c:pt>
                <c:pt idx="5">
                  <c:v>Rehan</c:v>
                </c:pt>
                <c:pt idx="6">
                  <c:v>Rohith</c:v>
                </c:pt>
                <c:pt idx="7">
                  <c:v>Sana</c:v>
                </c:pt>
              </c:strCache>
            </c:strRef>
          </c:cat>
          <c:val>
            <c:numRef>
              <c:f>PIVOT!$G$4:$G$11</c:f>
              <c:numCache>
                <c:formatCode>General</c:formatCode>
                <c:ptCount val="8"/>
                <c:pt idx="0">
                  <c:v>470</c:v>
                </c:pt>
                <c:pt idx="1">
                  <c:v>120</c:v>
                </c:pt>
                <c:pt idx="2">
                  <c:v>370</c:v>
                </c:pt>
                <c:pt idx="3">
                  <c:v>370</c:v>
                </c:pt>
                <c:pt idx="4">
                  <c:v>270</c:v>
                </c:pt>
                <c:pt idx="5">
                  <c:v>370</c:v>
                </c:pt>
                <c:pt idx="6">
                  <c:v>120</c:v>
                </c:pt>
                <c:pt idx="7">
                  <c:v>270</c:v>
                </c:pt>
              </c:numCache>
            </c:numRef>
          </c:val>
        </c:ser>
        <c:ser>
          <c:idx val="1"/>
          <c:order val="1"/>
          <c:tx>
            <c:strRef>
              <c:f>PIVOT!$H$3</c:f>
              <c:strCache>
                <c:ptCount val="1"/>
                <c:pt idx="0">
                  <c:v>Total</c:v>
                </c:pt>
              </c:strCache>
            </c:strRef>
          </c:tx>
          <c:spPr>
            <a:solidFill>
              <a:schemeClr val="accent2"/>
            </a:solidFill>
            <a:ln>
              <a:noFill/>
            </a:ln>
            <a:effectLst/>
            <a:sp3d/>
          </c:spPr>
          <c:invertIfNegative val="0"/>
          <c:dPt>
            <c:idx val="0"/>
            <c:invertIfNegative val="0"/>
            <c:bubble3D val="0"/>
            <c:spPr>
              <a:solidFill>
                <a:schemeClr val="accent2"/>
              </a:solidFill>
              <a:ln>
                <a:noFill/>
              </a:ln>
              <a:effectLst/>
              <a:sp3d/>
            </c:spPr>
          </c:dPt>
          <c:dLbls>
            <c:dLbl>
              <c:idx val="0"/>
              <c:layout>
                <c:manualLayout>
                  <c:x val="2.5700934579439231E-2"/>
                  <c:y val="9.5693779904306216E-3"/>
                </c:manualLayout>
              </c:layout>
              <c:showLegendKey val="0"/>
              <c:showVal val="1"/>
              <c:showCatName val="0"/>
              <c:showSerName val="0"/>
              <c:showPercent val="0"/>
              <c:showBubbleSize val="0"/>
              <c:extLst>
                <c:ext xmlns:c15="http://schemas.microsoft.com/office/drawing/2012/chart" uri="{CE6537A1-D6FC-4f65-9D91-7224C49458BB}">
                  <c15:layout/>
                </c:ext>
              </c:extLst>
            </c:dLbl>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5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layout/>
                <c15:showLeaderLines val="1"/>
                <c15:leaderLines>
                  <c:spPr>
                    <a:ln w="9525" cap="flat" cmpd="sng" algn="ctr">
                      <a:solidFill>
                        <a:schemeClr val="tx1">
                          <a:lumMod val="35000"/>
                          <a:lumOff val="65000"/>
                        </a:schemeClr>
                      </a:solidFill>
                      <a:round/>
                    </a:ln>
                    <a:effectLst/>
                  </c:spPr>
                </c15:leaderLines>
              </c:ext>
            </c:extLst>
          </c:dLbls>
          <c:cat>
            <c:strRef>
              <c:f>PIVOT!$F$4:$F$11</c:f>
              <c:strCache>
                <c:ptCount val="8"/>
                <c:pt idx="0">
                  <c:v>Aiyam</c:v>
                </c:pt>
                <c:pt idx="1">
                  <c:v>Hariharan</c:v>
                </c:pt>
                <c:pt idx="2">
                  <c:v>Karthick Pranav</c:v>
                </c:pt>
                <c:pt idx="3">
                  <c:v>Madhav krishna</c:v>
                </c:pt>
                <c:pt idx="4">
                  <c:v>Manisha</c:v>
                </c:pt>
                <c:pt idx="5">
                  <c:v>Rehan</c:v>
                </c:pt>
                <c:pt idx="6">
                  <c:v>Rohith</c:v>
                </c:pt>
                <c:pt idx="7">
                  <c:v>Sana</c:v>
                </c:pt>
              </c:strCache>
            </c:strRef>
          </c:cat>
          <c:val>
            <c:numRef>
              <c:f>PIVOT!$H$4:$H$11</c:f>
              <c:numCache>
                <c:formatCode>General</c:formatCode>
                <c:ptCount val="8"/>
                <c:pt idx="0">
                  <c:v>470</c:v>
                </c:pt>
                <c:pt idx="1">
                  <c:v>470</c:v>
                </c:pt>
                <c:pt idx="2">
                  <c:v>470</c:v>
                </c:pt>
                <c:pt idx="3">
                  <c:v>470</c:v>
                </c:pt>
                <c:pt idx="4">
                  <c:v>470</c:v>
                </c:pt>
                <c:pt idx="5">
                  <c:v>470</c:v>
                </c:pt>
                <c:pt idx="6">
                  <c:v>470</c:v>
                </c:pt>
                <c:pt idx="7">
                  <c:v>470</c:v>
                </c:pt>
              </c:numCache>
            </c:numRef>
          </c:val>
        </c:ser>
        <c:dLbls>
          <c:showLegendKey val="0"/>
          <c:showVal val="0"/>
          <c:showCatName val="0"/>
          <c:showSerName val="0"/>
          <c:showPercent val="0"/>
          <c:showBubbleSize val="0"/>
        </c:dLbls>
        <c:gapWidth val="150"/>
        <c:shape val="box"/>
        <c:axId val="-631236560"/>
        <c:axId val="-631235472"/>
        <c:axId val="0"/>
      </c:bar3DChart>
      <c:catAx>
        <c:axId val="-631236560"/>
        <c:scaling>
          <c:orientation val="minMax"/>
        </c:scaling>
        <c:delete val="0"/>
        <c:axPos val="b"/>
        <c:numFmt formatCode="General" sourceLinked="1"/>
        <c:majorTickMark val="none"/>
        <c:minorTickMark val="none"/>
        <c:tickLblPos val="nextTo"/>
        <c:spPr>
          <a:noFill/>
          <a:ln>
            <a:noFill/>
          </a:ln>
          <a:effectLst/>
        </c:spPr>
        <c:txPr>
          <a:bodyPr rot="-5400000" spcFirstLastPara="1" vertOverflow="ellipsis"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631235472"/>
        <c:crosses val="autoZero"/>
        <c:auto val="1"/>
        <c:lblAlgn val="ctr"/>
        <c:lblOffset val="100"/>
        <c:noMultiLvlLbl val="0"/>
      </c:catAx>
      <c:valAx>
        <c:axId val="-631235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63123656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2"/>
          <c:order val="0"/>
          <c:tx>
            <c:strRef>
              <c:f>Charts!$A$19</c:f>
              <c:strCache>
                <c:ptCount val="1"/>
                <c:pt idx="0">
                  <c:v>Male</c:v>
                </c:pt>
              </c:strCache>
            </c:strRef>
          </c:tx>
          <c:spPr>
            <a:solidFill>
              <a:srgbClr val="002060"/>
            </a:solidFill>
            <a:ln>
              <a:noFill/>
            </a:ln>
            <a:effectLst/>
          </c:spPr>
          <c:invertIfNegative val="0"/>
          <c:val>
            <c:numRef>
              <c:f>Charts!$A$20</c:f>
              <c:numCache>
                <c:formatCode>0.00%</c:formatCode>
                <c:ptCount val="1"/>
                <c:pt idx="0">
                  <c:v>0.75</c:v>
                </c:pt>
              </c:numCache>
            </c:numRef>
          </c:val>
        </c:ser>
        <c:ser>
          <c:idx val="3"/>
          <c:order val="1"/>
          <c:tx>
            <c:strRef>
              <c:f>Charts!$B$19</c:f>
              <c:strCache>
                <c:ptCount val="1"/>
                <c:pt idx="0">
                  <c:v>Female</c:v>
                </c:pt>
              </c:strCache>
            </c:strRef>
          </c:tx>
          <c:spPr>
            <a:noFill/>
            <a:ln>
              <a:noFill/>
            </a:ln>
            <a:effectLst/>
          </c:spPr>
          <c:invertIfNegative val="0"/>
          <c:val>
            <c:numRef>
              <c:f>Charts!$B$20</c:f>
              <c:numCache>
                <c:formatCode>0.00%</c:formatCode>
                <c:ptCount val="1"/>
                <c:pt idx="0">
                  <c:v>0.25</c:v>
                </c:pt>
              </c:numCache>
            </c:numRef>
          </c:val>
        </c:ser>
        <c:ser>
          <c:idx val="0"/>
          <c:order val="2"/>
          <c:tx>
            <c:strRef>
              <c:f>Charts!$B$19</c:f>
              <c:strCache>
                <c:ptCount val="1"/>
                <c:pt idx="0">
                  <c:v>Female</c:v>
                </c:pt>
              </c:strCache>
            </c:strRef>
          </c:tx>
          <c:spPr>
            <a:solidFill>
              <a:srgbClr val="FFC000"/>
            </a:solidFill>
            <a:ln>
              <a:noFill/>
            </a:ln>
            <a:effectLst/>
          </c:spPr>
          <c:invertIfNegative val="0"/>
          <c:val>
            <c:numRef>
              <c:f>Charts!$B$20</c:f>
              <c:numCache>
                <c:formatCode>0.00%</c:formatCode>
                <c:ptCount val="1"/>
                <c:pt idx="0">
                  <c:v>0.25</c:v>
                </c:pt>
              </c:numCache>
            </c:numRef>
          </c:val>
        </c:ser>
        <c:ser>
          <c:idx val="1"/>
          <c:order val="3"/>
          <c:tx>
            <c:strRef>
              <c:f>Charts!$B$19</c:f>
              <c:strCache>
                <c:ptCount val="1"/>
                <c:pt idx="0">
                  <c:v>Female</c:v>
                </c:pt>
              </c:strCache>
            </c:strRef>
          </c:tx>
          <c:spPr>
            <a:noFill/>
            <a:ln>
              <a:noFill/>
            </a:ln>
            <a:effectLst/>
          </c:spPr>
          <c:invertIfNegative val="0"/>
          <c:val>
            <c:numRef>
              <c:f>Charts!$B$20</c:f>
              <c:numCache>
                <c:formatCode>0.00%</c:formatCode>
                <c:ptCount val="1"/>
                <c:pt idx="0">
                  <c:v>0.25</c:v>
                </c:pt>
              </c:numCache>
            </c:numRef>
          </c:val>
        </c:ser>
        <c:dLbls>
          <c:showLegendKey val="0"/>
          <c:showVal val="0"/>
          <c:showCatName val="0"/>
          <c:showSerName val="0"/>
          <c:showPercent val="0"/>
          <c:showBubbleSize val="0"/>
        </c:dLbls>
        <c:gapWidth val="0"/>
        <c:overlap val="100"/>
        <c:axId val="-631237648"/>
        <c:axId val="-631247440"/>
      </c:barChart>
      <c:catAx>
        <c:axId val="-631237648"/>
        <c:scaling>
          <c:orientation val="minMax"/>
        </c:scaling>
        <c:delete val="1"/>
        <c:axPos val="b"/>
        <c:majorTickMark val="none"/>
        <c:minorTickMark val="none"/>
        <c:tickLblPos val="nextTo"/>
        <c:crossAx val="-631247440"/>
        <c:crosses val="autoZero"/>
        <c:auto val="1"/>
        <c:lblAlgn val="ctr"/>
        <c:lblOffset val="100"/>
        <c:noMultiLvlLbl val="0"/>
      </c:catAx>
      <c:valAx>
        <c:axId val="-631247440"/>
        <c:scaling>
          <c:orientation val="minMax"/>
          <c:max val="1"/>
        </c:scaling>
        <c:delete val="1"/>
        <c:axPos val="l"/>
        <c:numFmt formatCode="0.00%" sourceLinked="1"/>
        <c:majorTickMark val="none"/>
        <c:minorTickMark val="none"/>
        <c:tickLblPos val="nextTo"/>
        <c:crossAx val="-631237648"/>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Charts!$B$19</c:f>
              <c:strCache>
                <c:ptCount val="1"/>
                <c:pt idx="0">
                  <c:v>Female</c:v>
                </c:pt>
              </c:strCache>
            </c:strRef>
          </c:tx>
          <c:spPr>
            <a:solidFill>
              <a:srgbClr val="FFC000"/>
            </a:solidFill>
            <a:ln>
              <a:noFill/>
            </a:ln>
            <a:effectLst/>
          </c:spPr>
          <c:invertIfNegative val="0"/>
          <c:val>
            <c:numRef>
              <c:f>Charts!$B$20</c:f>
              <c:numCache>
                <c:formatCode>0.00%</c:formatCode>
                <c:ptCount val="1"/>
                <c:pt idx="0">
                  <c:v>0.25</c:v>
                </c:pt>
              </c:numCache>
            </c:numRef>
          </c:val>
        </c:ser>
        <c:ser>
          <c:idx val="1"/>
          <c:order val="1"/>
          <c:tx>
            <c:strRef>
              <c:f>Charts!$B$19</c:f>
              <c:strCache>
                <c:ptCount val="1"/>
                <c:pt idx="0">
                  <c:v>Female</c:v>
                </c:pt>
              </c:strCache>
            </c:strRef>
          </c:tx>
          <c:spPr>
            <a:noFill/>
            <a:ln>
              <a:noFill/>
            </a:ln>
            <a:effectLst/>
          </c:spPr>
          <c:invertIfNegative val="0"/>
          <c:val>
            <c:numRef>
              <c:f>Charts!$B$20</c:f>
              <c:numCache>
                <c:formatCode>0.00%</c:formatCode>
                <c:ptCount val="1"/>
                <c:pt idx="0">
                  <c:v>0.25</c:v>
                </c:pt>
              </c:numCache>
            </c:numRef>
          </c:val>
        </c:ser>
        <c:dLbls>
          <c:showLegendKey val="0"/>
          <c:showVal val="0"/>
          <c:showCatName val="0"/>
          <c:showSerName val="0"/>
          <c:showPercent val="0"/>
          <c:showBubbleSize val="0"/>
        </c:dLbls>
        <c:gapWidth val="0"/>
        <c:overlap val="100"/>
        <c:axId val="-631243632"/>
        <c:axId val="-631240368"/>
      </c:barChart>
      <c:catAx>
        <c:axId val="-631243632"/>
        <c:scaling>
          <c:orientation val="minMax"/>
        </c:scaling>
        <c:delete val="1"/>
        <c:axPos val="b"/>
        <c:majorTickMark val="none"/>
        <c:minorTickMark val="none"/>
        <c:tickLblPos val="nextTo"/>
        <c:crossAx val="-631240368"/>
        <c:crosses val="autoZero"/>
        <c:auto val="1"/>
        <c:lblAlgn val="ctr"/>
        <c:lblOffset val="100"/>
        <c:noMultiLvlLbl val="0"/>
      </c:catAx>
      <c:valAx>
        <c:axId val="-631240368"/>
        <c:scaling>
          <c:orientation val="minMax"/>
          <c:max val="1"/>
        </c:scaling>
        <c:delete val="1"/>
        <c:axPos val="l"/>
        <c:numFmt formatCode="0.00%" sourceLinked="1"/>
        <c:majorTickMark val="none"/>
        <c:minorTickMark val="none"/>
        <c:tickLblPos val="nextTo"/>
        <c:crossAx val="-631243632"/>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 Final.xlsm]PIVOT!PivotTable4</c:name>
    <c:fmtId val="10"/>
  </c:pivotSource>
  <c:chart>
    <c:title>
      <c:tx>
        <c:rich>
          <a:bodyPr rot="0" spcFirstLastPara="1" vertOverflow="ellipsis" vert="horz" wrap="square" anchor="ctr" anchorCtr="1"/>
          <a:lstStyle/>
          <a:p>
            <a:pPr>
              <a:defRPr sz="1200" b="1" i="0" u="none" strike="noStrike" kern="1200" cap="all" spc="100" normalizeH="0" baseline="0">
                <a:solidFill>
                  <a:schemeClr val="lt1"/>
                </a:solidFill>
                <a:latin typeface="+mn-lt"/>
                <a:ea typeface="+mn-ea"/>
                <a:cs typeface="+mn-cs"/>
              </a:defRPr>
            </a:pPr>
            <a:r>
              <a:rPr lang="en-US" sz="1200"/>
              <a:t>OVERALL</a:t>
            </a:r>
            <a:r>
              <a:rPr lang="en-US" sz="1200" baseline="0"/>
              <a:t> PERCENTAGE (MARKS + ATTENDANCE)</a:t>
            </a:r>
            <a:endParaRPr lang="en-US" sz="1200"/>
          </a:p>
        </c:rich>
      </c:tx>
      <c:layout>
        <c:manualLayout>
          <c:xMode val="edge"/>
          <c:yMode val="edge"/>
          <c:x val="0.19153162590282699"/>
          <c:y val="3.6016331291921846E-2"/>
        </c:manualLayout>
      </c:layout>
      <c:overlay val="0"/>
      <c:spPr>
        <a:noFill/>
        <a:ln>
          <a:noFill/>
        </a:ln>
        <a:effectLst/>
      </c:spPr>
      <c:txPr>
        <a:bodyPr rot="0" spcFirstLastPara="1" vertOverflow="ellipsis" vert="horz" wrap="square" anchor="ctr" anchorCtr="1"/>
        <a:lstStyle/>
        <a:p>
          <a:pPr>
            <a:defRPr sz="12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a:noFill/>
          </a:ln>
          <a:effectLst/>
        </c:spPr>
        <c:marker>
          <c:symbol val="circle"/>
          <c:size val="5"/>
          <c:spPr>
            <a:solidFill>
              <a:schemeClr val="accent1"/>
            </a:solidFill>
            <a:ln w="22225">
              <a:solidFill>
                <a:schemeClr val="lt1"/>
              </a:solidFill>
              <a:round/>
            </a:ln>
            <a:effectLst/>
          </c:spPr>
        </c:marker>
        <c:dLbl>
          <c:idx val="0"/>
          <c:spPr>
            <a:solidFill>
              <a:srgbClr val="5B9BD5">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a:noFill/>
          </a:ln>
          <a:effectLst/>
        </c:spPr>
        <c:marker>
          <c:symbol val="none"/>
        </c:marker>
      </c:pivotFmt>
      <c:pivotFmt>
        <c:idx val="2"/>
        <c:spPr>
          <a:pattFill prst="ltUpDiag">
            <a:fgClr>
              <a:schemeClr val="accent1"/>
            </a:fgClr>
            <a:bgClr>
              <a:schemeClr val="lt1"/>
            </a:bgClr>
          </a:pattFill>
          <a:ln>
            <a:noFill/>
          </a:ln>
          <a:effectLst/>
        </c:spPr>
        <c:marker>
          <c:symbol val="none"/>
        </c:marker>
      </c:pivotFmt>
    </c:pivotFmts>
    <c:plotArea>
      <c:layout/>
      <c:barChart>
        <c:barDir val="bar"/>
        <c:grouping val="clustered"/>
        <c:varyColors val="0"/>
        <c:ser>
          <c:idx val="0"/>
          <c:order val="0"/>
          <c:tx>
            <c:strRef>
              <c:f>PIVOT!$K$3</c:f>
              <c:strCache>
                <c:ptCount val="1"/>
                <c:pt idx="0">
                  <c:v>Total</c:v>
                </c:pt>
              </c:strCache>
            </c:strRef>
          </c:tx>
          <c:spPr>
            <a:pattFill prst="ltUpDiag">
              <a:fgClr>
                <a:schemeClr val="accent1"/>
              </a:fgClr>
              <a:bgClr>
                <a:schemeClr val="lt1"/>
              </a:bgClr>
            </a:pattFill>
            <a:ln>
              <a:noFill/>
            </a:ln>
            <a:effectLst/>
          </c:spPr>
          <c:invertIfNegative val="0"/>
          <c:cat>
            <c:strRef>
              <c:f>PIVOT!$J$4:$J$11</c:f>
              <c:strCache>
                <c:ptCount val="8"/>
                <c:pt idx="0">
                  <c:v>Aiyam</c:v>
                </c:pt>
                <c:pt idx="1">
                  <c:v>Hariharan</c:v>
                </c:pt>
                <c:pt idx="2">
                  <c:v>Karthick Pranav</c:v>
                </c:pt>
                <c:pt idx="3">
                  <c:v>Madhav krishna</c:v>
                </c:pt>
                <c:pt idx="4">
                  <c:v>Manisha</c:v>
                </c:pt>
                <c:pt idx="5">
                  <c:v>Rehan</c:v>
                </c:pt>
                <c:pt idx="6">
                  <c:v>Rohith</c:v>
                </c:pt>
                <c:pt idx="7">
                  <c:v>Sana</c:v>
                </c:pt>
              </c:strCache>
            </c:strRef>
          </c:cat>
          <c:val>
            <c:numRef>
              <c:f>PIVOT!$K$4:$K$11</c:f>
              <c:numCache>
                <c:formatCode>0.00%</c:formatCode>
                <c:ptCount val="8"/>
                <c:pt idx="0">
                  <c:v>2</c:v>
                </c:pt>
                <c:pt idx="1">
                  <c:v>0.63031914893617014</c:v>
                </c:pt>
                <c:pt idx="2">
                  <c:v>1.6622340425531914</c:v>
                </c:pt>
                <c:pt idx="3">
                  <c:v>1.6622340425531914</c:v>
                </c:pt>
                <c:pt idx="4">
                  <c:v>1.199468085106383</c:v>
                </c:pt>
                <c:pt idx="5">
                  <c:v>1.6622340425531914</c:v>
                </c:pt>
                <c:pt idx="6">
                  <c:v>0.88031914893617014</c:v>
                </c:pt>
                <c:pt idx="7">
                  <c:v>1.324468085106383</c:v>
                </c:pt>
              </c:numCache>
            </c:numRef>
          </c:val>
        </c:ser>
        <c:dLbls>
          <c:showLegendKey val="0"/>
          <c:showVal val="0"/>
          <c:showCatName val="0"/>
          <c:showSerName val="0"/>
          <c:showPercent val="0"/>
          <c:showBubbleSize val="0"/>
        </c:dLbls>
        <c:gapWidth val="269"/>
        <c:overlap val="-20"/>
        <c:axId val="-631242544"/>
        <c:axId val="-631234928"/>
      </c:barChart>
      <c:catAx>
        <c:axId val="-631242544"/>
        <c:scaling>
          <c:orientation val="minMax"/>
        </c:scaling>
        <c:delete val="0"/>
        <c:axPos val="l"/>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1" i="0" u="none" strike="noStrike" kern="1200" cap="all" spc="150" normalizeH="0" baseline="0">
                <a:solidFill>
                  <a:schemeClr val="lt1"/>
                </a:solidFill>
                <a:latin typeface="+mn-lt"/>
                <a:ea typeface="+mn-ea"/>
                <a:cs typeface="+mn-cs"/>
              </a:defRPr>
            </a:pPr>
            <a:endParaRPr lang="en-US"/>
          </a:p>
        </c:txPr>
        <c:crossAx val="-631234928"/>
        <c:crosses val="autoZero"/>
        <c:auto val="1"/>
        <c:lblAlgn val="ctr"/>
        <c:lblOffset val="100"/>
        <c:noMultiLvlLbl val="0"/>
      </c:catAx>
      <c:valAx>
        <c:axId val="-631234928"/>
        <c:scaling>
          <c:orientation val="minMax"/>
        </c:scaling>
        <c:delete val="0"/>
        <c:axPos val="b"/>
        <c:majorGridlines>
          <c:spPr>
            <a:ln w="9525" cap="flat" cmpd="sng" algn="ctr">
              <a:solidFill>
                <a:schemeClr val="lt1">
                  <a:alpha val="2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lt1"/>
                </a:solidFill>
                <a:latin typeface="+mn-lt"/>
                <a:ea typeface="+mn-ea"/>
                <a:cs typeface="+mn-cs"/>
              </a:defRPr>
            </a:pPr>
            <a:endParaRPr lang="en-US"/>
          </a:p>
        </c:txPr>
        <c:crossAx val="-6312425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6">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31750</xdr:colOff>
      <xdr:row>0</xdr:row>
      <xdr:rowOff>0</xdr:rowOff>
    </xdr:from>
    <xdr:to>
      <xdr:col>20</xdr:col>
      <xdr:colOff>139700</xdr:colOff>
      <xdr:row>22</xdr:row>
      <xdr:rowOff>63500</xdr:rowOff>
    </xdr:to>
    <xdr:sp macro="" textlink="">
      <xdr:nvSpPr>
        <xdr:cNvPr id="2" name="Rectangle 1"/>
        <xdr:cNvSpPr/>
      </xdr:nvSpPr>
      <xdr:spPr>
        <a:xfrm>
          <a:off x="31750" y="0"/>
          <a:ext cx="12299950" cy="41148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IN" sz="2000" b="1" cap="none" spc="0">
              <a:ln w="0"/>
              <a:solidFill>
                <a:schemeClr val="tx1"/>
              </a:solidFill>
              <a:effectLst>
                <a:outerShdw blurRad="38100" dist="19050" dir="2700000" algn="tl" rotWithShape="0">
                  <a:schemeClr val="dk1">
                    <a:alpha val="40000"/>
                  </a:schemeClr>
                </a:outerShdw>
              </a:effectLst>
              <a:latin typeface="+mn-lt"/>
            </a:rPr>
            <a:t>+</a:t>
          </a:r>
        </a:p>
      </xdr:txBody>
    </xdr:sp>
    <xdr:clientData/>
  </xdr:twoCellAnchor>
  <xdr:twoCellAnchor>
    <xdr:from>
      <xdr:col>0</xdr:col>
      <xdr:colOff>38100</xdr:colOff>
      <xdr:row>0</xdr:row>
      <xdr:rowOff>6350</xdr:rowOff>
    </xdr:from>
    <xdr:to>
      <xdr:col>20</xdr:col>
      <xdr:colOff>158750</xdr:colOff>
      <xdr:row>3</xdr:row>
      <xdr:rowOff>120650</xdr:rowOff>
    </xdr:to>
    <xdr:sp macro="" textlink="">
      <xdr:nvSpPr>
        <xdr:cNvPr id="4" name="TextBox 3"/>
        <xdr:cNvSpPr txBox="1"/>
      </xdr:nvSpPr>
      <xdr:spPr>
        <a:xfrm>
          <a:off x="38100" y="6350"/>
          <a:ext cx="123126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cap="none" spc="0">
              <a:ln w="0"/>
              <a:solidFill>
                <a:schemeClr val="tx1"/>
              </a:solidFill>
              <a:effectLst>
                <a:outerShdw blurRad="38100" dist="19050" dir="2700000" algn="tl" rotWithShape="0">
                  <a:schemeClr val="dk1">
                    <a:alpha val="40000"/>
                  </a:schemeClr>
                </a:outerShdw>
              </a:effectLst>
              <a:latin typeface="+mn-lt"/>
            </a:rPr>
            <a:t> </a:t>
          </a:r>
          <a:r>
            <a:rPr lang="en-IN" sz="2400" b="1" cap="none" spc="0">
              <a:ln w="0"/>
              <a:solidFill>
                <a:schemeClr val="tx1"/>
              </a:solidFill>
              <a:effectLst>
                <a:outerShdw blurRad="38100" dist="19050" dir="2700000" algn="tl" rotWithShape="0">
                  <a:schemeClr val="dk1">
                    <a:alpha val="40000"/>
                  </a:schemeClr>
                </a:outerShdw>
              </a:effectLst>
              <a:latin typeface="+mn-lt"/>
            </a:rPr>
            <a:t>ANALYTICS AVENUE DASHBOARD</a:t>
          </a:r>
          <a:endParaRPr lang="en-IN" sz="1100" b="1" cap="none" spc="0">
            <a:ln w="0"/>
            <a:solidFill>
              <a:schemeClr val="tx1"/>
            </a:solidFill>
            <a:effectLst>
              <a:outerShdw blurRad="38100" dist="19050" dir="2700000" algn="tl" rotWithShape="0">
                <a:schemeClr val="dk1">
                  <a:alpha val="40000"/>
                </a:schemeClr>
              </a:outerShdw>
            </a:effectLst>
            <a:latin typeface="+mn-lt"/>
          </a:endParaRPr>
        </a:p>
      </xdr:txBody>
    </xdr:sp>
    <xdr:clientData/>
  </xdr:twoCellAnchor>
  <xdr:twoCellAnchor>
    <xdr:from>
      <xdr:col>1</xdr:col>
      <xdr:colOff>203200</xdr:colOff>
      <xdr:row>5</xdr:row>
      <xdr:rowOff>12700</xdr:rowOff>
    </xdr:from>
    <xdr:to>
      <xdr:col>3</xdr:col>
      <xdr:colOff>31750</xdr:colOff>
      <xdr:row>6</xdr:row>
      <xdr:rowOff>158750</xdr:rowOff>
    </xdr:to>
    <xdr:sp macro="" textlink="">
      <xdr:nvSpPr>
        <xdr:cNvPr id="5" name="TextBox 4"/>
        <xdr:cNvSpPr txBox="1"/>
      </xdr:nvSpPr>
      <xdr:spPr>
        <a:xfrm>
          <a:off x="812800" y="933450"/>
          <a:ext cx="1047750" cy="33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cap="none" spc="0">
              <a:ln w="0"/>
              <a:solidFill>
                <a:schemeClr val="tx1"/>
              </a:solidFill>
              <a:effectLst>
                <a:outerShdw blurRad="38100" dist="19050" dir="2700000" algn="tl" rotWithShape="0">
                  <a:schemeClr val="dk1">
                    <a:alpha val="40000"/>
                  </a:schemeClr>
                </a:outerShdw>
              </a:effectLst>
              <a:latin typeface="+mn-lt"/>
            </a:rPr>
            <a:t>GO TO</a:t>
          </a:r>
          <a:endParaRPr lang="en-IN" sz="1100" b="1" cap="none" spc="0">
            <a:ln w="0"/>
            <a:solidFill>
              <a:schemeClr val="tx1"/>
            </a:solidFill>
            <a:effectLst>
              <a:outerShdw blurRad="38100" dist="19050" dir="2700000" algn="tl" rotWithShape="0">
                <a:schemeClr val="dk1">
                  <a:alpha val="40000"/>
                </a:schemeClr>
              </a:outerShdw>
            </a:effectLst>
            <a:latin typeface="+mn-lt"/>
          </a:endParaRPr>
        </a:p>
      </xdr:txBody>
    </xdr:sp>
    <xdr:clientData/>
  </xdr:twoCellAnchor>
  <xdr:twoCellAnchor>
    <xdr:from>
      <xdr:col>3</xdr:col>
      <xdr:colOff>50800</xdr:colOff>
      <xdr:row>5</xdr:row>
      <xdr:rowOff>158750</xdr:rowOff>
    </xdr:from>
    <xdr:to>
      <xdr:col>4</xdr:col>
      <xdr:colOff>590550</xdr:colOff>
      <xdr:row>5</xdr:row>
      <xdr:rowOff>165100</xdr:rowOff>
    </xdr:to>
    <xdr:cxnSp macro="">
      <xdr:nvCxnSpPr>
        <xdr:cNvPr id="7" name="Straight Arrow Connector 6"/>
        <xdr:cNvCxnSpPr/>
      </xdr:nvCxnSpPr>
      <xdr:spPr>
        <a:xfrm flipV="1">
          <a:off x="1879600" y="1079500"/>
          <a:ext cx="1149350" cy="63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266700</xdr:colOff>
      <xdr:row>4</xdr:row>
      <xdr:rowOff>139700</xdr:rowOff>
    </xdr:from>
    <xdr:to>
      <xdr:col>8</xdr:col>
      <xdr:colOff>546100</xdr:colOff>
      <xdr:row>7</xdr:row>
      <xdr:rowOff>19050</xdr:rowOff>
    </xdr:to>
    <xdr:sp macro="[0]!GOTOSHEET_Dashboard" textlink="">
      <xdr:nvSpPr>
        <xdr:cNvPr id="8" name="Rounded Rectangle 7"/>
        <xdr:cNvSpPr/>
      </xdr:nvSpPr>
      <xdr:spPr>
        <a:xfrm>
          <a:off x="3314700" y="876300"/>
          <a:ext cx="2108200" cy="4318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IN" sz="2000" b="1" cap="none" spc="0">
              <a:ln w="0"/>
              <a:solidFill>
                <a:schemeClr val="tx1"/>
              </a:solidFill>
              <a:effectLst>
                <a:outerShdw blurRad="38100" dist="19050" dir="2700000" algn="tl" rotWithShape="0">
                  <a:schemeClr val="dk1">
                    <a:alpha val="40000"/>
                  </a:schemeClr>
                </a:outerShdw>
              </a:effectLst>
              <a:latin typeface="+mn-lt"/>
            </a:rPr>
            <a:t>DASHBOARD</a:t>
          </a:r>
        </a:p>
      </xdr:txBody>
    </xdr:sp>
    <xdr:clientData/>
  </xdr:twoCellAnchor>
  <xdr:twoCellAnchor>
    <xdr:from>
      <xdr:col>5</xdr:col>
      <xdr:colOff>298450</xdr:colOff>
      <xdr:row>8</xdr:row>
      <xdr:rowOff>88900</xdr:rowOff>
    </xdr:from>
    <xdr:to>
      <xdr:col>8</xdr:col>
      <xdr:colOff>577850</xdr:colOff>
      <xdr:row>10</xdr:row>
      <xdr:rowOff>152400</xdr:rowOff>
    </xdr:to>
    <xdr:sp macro="[0]!GOTOSHEET_Tasks" textlink="">
      <xdr:nvSpPr>
        <xdr:cNvPr id="9" name="Rounded Rectangle 8"/>
        <xdr:cNvSpPr/>
      </xdr:nvSpPr>
      <xdr:spPr>
        <a:xfrm>
          <a:off x="3346450" y="1562100"/>
          <a:ext cx="2108200" cy="4318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IN" sz="2000" b="1" cap="none" spc="0">
              <a:ln w="0"/>
              <a:solidFill>
                <a:schemeClr val="tx1"/>
              </a:solidFill>
              <a:effectLst>
                <a:outerShdw blurRad="38100" dist="19050" dir="2700000" algn="tl" rotWithShape="0">
                  <a:schemeClr val="dk1">
                    <a:alpha val="40000"/>
                  </a:schemeClr>
                </a:outerShdw>
              </a:effectLst>
              <a:latin typeface="+mn-lt"/>
            </a:rPr>
            <a:t>TASK</a:t>
          </a:r>
          <a:r>
            <a:rPr lang="en-IN" sz="2000" b="1" cap="none" spc="0" baseline="0">
              <a:ln w="0"/>
              <a:solidFill>
                <a:schemeClr val="tx1"/>
              </a:solidFill>
              <a:effectLst>
                <a:outerShdw blurRad="38100" dist="19050" dir="2700000" algn="tl" rotWithShape="0">
                  <a:schemeClr val="dk1">
                    <a:alpha val="40000"/>
                  </a:schemeClr>
                </a:outerShdw>
              </a:effectLst>
              <a:latin typeface="+mn-lt"/>
            </a:rPr>
            <a:t> SHEET</a:t>
          </a:r>
          <a:endParaRPr lang="en-IN" sz="2000" b="1" cap="none" spc="0">
            <a:ln w="0"/>
            <a:solidFill>
              <a:schemeClr val="tx1"/>
            </a:solidFill>
            <a:effectLst>
              <a:outerShdw blurRad="38100" dist="19050" dir="2700000" algn="tl" rotWithShape="0">
                <a:schemeClr val="dk1">
                  <a:alpha val="40000"/>
                </a:schemeClr>
              </a:outerShdw>
            </a:effectLst>
            <a:latin typeface="+mn-lt"/>
          </a:endParaRPr>
        </a:p>
      </xdr:txBody>
    </xdr:sp>
    <xdr:clientData/>
  </xdr:twoCellAnchor>
  <xdr:twoCellAnchor>
    <xdr:from>
      <xdr:col>5</xdr:col>
      <xdr:colOff>311150</xdr:colOff>
      <xdr:row>12</xdr:row>
      <xdr:rowOff>76200</xdr:rowOff>
    </xdr:from>
    <xdr:to>
      <xdr:col>8</xdr:col>
      <xdr:colOff>590550</xdr:colOff>
      <xdr:row>14</xdr:row>
      <xdr:rowOff>139700</xdr:rowOff>
    </xdr:to>
    <xdr:sp macro="[0]!GOTOSHEET_Attendance" textlink="">
      <xdr:nvSpPr>
        <xdr:cNvPr id="10" name="Rounded Rectangle 9"/>
        <xdr:cNvSpPr/>
      </xdr:nvSpPr>
      <xdr:spPr>
        <a:xfrm>
          <a:off x="3359150" y="2286000"/>
          <a:ext cx="2108200" cy="4318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IN" sz="1800" b="1" cap="none" spc="0">
              <a:ln w="0"/>
              <a:solidFill>
                <a:schemeClr val="tx1"/>
              </a:solidFill>
              <a:effectLst>
                <a:outerShdw blurRad="38100" dist="19050" dir="2700000" algn="tl" rotWithShape="0">
                  <a:schemeClr val="dk1">
                    <a:alpha val="40000"/>
                  </a:schemeClr>
                </a:outerShdw>
              </a:effectLst>
              <a:latin typeface="+mn-lt"/>
            </a:rPr>
            <a:t>ATTENDANCE</a:t>
          </a:r>
        </a:p>
      </xdr:txBody>
    </xdr:sp>
    <xdr:clientData/>
  </xdr:twoCellAnchor>
  <xdr:twoCellAnchor>
    <xdr:from>
      <xdr:col>10</xdr:col>
      <xdr:colOff>63500</xdr:colOff>
      <xdr:row>12</xdr:row>
      <xdr:rowOff>95250</xdr:rowOff>
    </xdr:from>
    <xdr:to>
      <xdr:col>13</xdr:col>
      <xdr:colOff>342900</xdr:colOff>
      <xdr:row>14</xdr:row>
      <xdr:rowOff>158750</xdr:rowOff>
    </xdr:to>
    <xdr:sp macro="[0]!GOTOSHEET_tools" textlink="">
      <xdr:nvSpPr>
        <xdr:cNvPr id="11" name="Rounded Rectangle 10"/>
        <xdr:cNvSpPr/>
      </xdr:nvSpPr>
      <xdr:spPr>
        <a:xfrm>
          <a:off x="6159500" y="2305050"/>
          <a:ext cx="2108200" cy="4318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IN" sz="2000" b="1" cap="none" spc="0">
              <a:ln w="0"/>
              <a:solidFill>
                <a:schemeClr val="tx1"/>
              </a:solidFill>
              <a:effectLst>
                <a:outerShdw blurRad="38100" dist="19050" dir="2700000" algn="tl" rotWithShape="0">
                  <a:schemeClr val="dk1">
                    <a:alpha val="40000"/>
                  </a:schemeClr>
                </a:outerShdw>
              </a:effectLst>
              <a:latin typeface="+mn-lt"/>
            </a:rPr>
            <a:t>TOOLS</a:t>
          </a:r>
        </a:p>
      </xdr:txBody>
    </xdr:sp>
    <xdr:clientData/>
  </xdr:twoCellAnchor>
  <xdr:twoCellAnchor>
    <xdr:from>
      <xdr:col>9</xdr:col>
      <xdr:colOff>596900</xdr:colOff>
      <xdr:row>4</xdr:row>
      <xdr:rowOff>139700</xdr:rowOff>
    </xdr:from>
    <xdr:to>
      <xdr:col>13</xdr:col>
      <xdr:colOff>266700</xdr:colOff>
      <xdr:row>7</xdr:row>
      <xdr:rowOff>19050</xdr:rowOff>
    </xdr:to>
    <xdr:sp macro="[0]!GOTOSHEET_fees" textlink="">
      <xdr:nvSpPr>
        <xdr:cNvPr id="13" name="Rounded Rectangle 12"/>
        <xdr:cNvSpPr/>
      </xdr:nvSpPr>
      <xdr:spPr>
        <a:xfrm>
          <a:off x="6083300" y="876300"/>
          <a:ext cx="2108200" cy="4318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IN" sz="2000" b="1" cap="none" spc="0">
              <a:ln w="0"/>
              <a:solidFill>
                <a:schemeClr val="tx1"/>
              </a:solidFill>
              <a:effectLst>
                <a:outerShdw blurRad="38100" dist="19050" dir="2700000" algn="tl" rotWithShape="0">
                  <a:schemeClr val="dk1">
                    <a:alpha val="40000"/>
                  </a:schemeClr>
                </a:outerShdw>
              </a:effectLst>
              <a:latin typeface="+mn-lt"/>
            </a:rPr>
            <a:t>FEES</a:t>
          </a:r>
        </a:p>
      </xdr:txBody>
    </xdr:sp>
    <xdr:clientData/>
  </xdr:twoCellAnchor>
  <xdr:twoCellAnchor>
    <xdr:from>
      <xdr:col>10</xdr:col>
      <xdr:colOff>76200</xdr:colOff>
      <xdr:row>8</xdr:row>
      <xdr:rowOff>107950</xdr:rowOff>
    </xdr:from>
    <xdr:to>
      <xdr:col>13</xdr:col>
      <xdr:colOff>355600</xdr:colOff>
      <xdr:row>10</xdr:row>
      <xdr:rowOff>171450</xdr:rowOff>
    </xdr:to>
    <xdr:sp macro="[0]!GOTOSHEET_taskcredits" textlink="">
      <xdr:nvSpPr>
        <xdr:cNvPr id="14" name="Rounded Rectangle 13"/>
        <xdr:cNvSpPr/>
      </xdr:nvSpPr>
      <xdr:spPr>
        <a:xfrm>
          <a:off x="6172200" y="1581150"/>
          <a:ext cx="2108200" cy="4318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IN" sz="2000" b="1" cap="none" spc="0">
              <a:ln w="0"/>
              <a:solidFill>
                <a:schemeClr val="tx1"/>
              </a:solidFill>
              <a:effectLst>
                <a:outerShdw blurRad="38100" dist="19050" dir="2700000" algn="tl" rotWithShape="0">
                  <a:schemeClr val="dk1">
                    <a:alpha val="40000"/>
                  </a:schemeClr>
                </a:outerShdw>
              </a:effectLst>
              <a:latin typeface="+mn-lt"/>
            </a:rPr>
            <a:t>TASK</a:t>
          </a:r>
          <a:r>
            <a:rPr lang="en-IN" sz="2000" b="1" cap="none" spc="0" baseline="0">
              <a:ln w="0"/>
              <a:solidFill>
                <a:schemeClr val="tx1"/>
              </a:solidFill>
              <a:effectLst>
                <a:outerShdw blurRad="38100" dist="19050" dir="2700000" algn="tl" rotWithShape="0">
                  <a:schemeClr val="dk1">
                    <a:alpha val="40000"/>
                  </a:schemeClr>
                </a:outerShdw>
              </a:effectLst>
              <a:latin typeface="+mn-lt"/>
            </a:rPr>
            <a:t> CREDITS</a:t>
          </a:r>
          <a:endParaRPr lang="en-IN" sz="2000" b="1" cap="none" spc="0">
            <a:ln w="0"/>
            <a:solidFill>
              <a:schemeClr val="tx1"/>
            </a:solidFill>
            <a:effectLst>
              <a:outerShdw blurRad="38100" dist="19050" dir="2700000" algn="tl" rotWithShape="0">
                <a:schemeClr val="dk1">
                  <a:alpha val="40000"/>
                </a:schemeClr>
              </a:outerShdw>
            </a:effectLst>
            <a:latin typeface="+mn-lt"/>
          </a:endParaRPr>
        </a:p>
      </xdr:txBody>
    </xdr:sp>
    <xdr:clientData/>
  </xdr:twoCellAnchor>
  <xdr:twoCellAnchor>
    <xdr:from>
      <xdr:col>15</xdr:col>
      <xdr:colOff>158750</xdr:colOff>
      <xdr:row>6</xdr:row>
      <xdr:rowOff>76200</xdr:rowOff>
    </xdr:from>
    <xdr:to>
      <xdr:col>17</xdr:col>
      <xdr:colOff>552450</xdr:colOff>
      <xdr:row>8</xdr:row>
      <xdr:rowOff>139700</xdr:rowOff>
    </xdr:to>
    <xdr:sp macro="[0]!GOTOSHEET_userdata" textlink="">
      <xdr:nvSpPr>
        <xdr:cNvPr id="15" name="Rounded Rectangle 14"/>
        <xdr:cNvSpPr/>
      </xdr:nvSpPr>
      <xdr:spPr>
        <a:xfrm>
          <a:off x="9302750" y="1181100"/>
          <a:ext cx="1612900" cy="4318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IN" sz="1800" b="1" cap="none" spc="0">
              <a:ln w="0"/>
              <a:solidFill>
                <a:schemeClr val="tx1"/>
              </a:solidFill>
              <a:effectLst>
                <a:outerShdw blurRad="38100" dist="19050" dir="2700000" algn="tl" rotWithShape="0">
                  <a:schemeClr val="dk1">
                    <a:alpha val="40000"/>
                  </a:schemeClr>
                </a:outerShdw>
              </a:effectLst>
              <a:latin typeface="+mn-lt"/>
            </a:rPr>
            <a:t>CREDENTIALS</a:t>
          </a:r>
        </a:p>
      </xdr:txBody>
    </xdr:sp>
    <xdr:clientData/>
  </xdr:twoCellAnchor>
  <xdr:twoCellAnchor>
    <xdr:from>
      <xdr:col>10</xdr:col>
      <xdr:colOff>146050</xdr:colOff>
      <xdr:row>16</xdr:row>
      <xdr:rowOff>69850</xdr:rowOff>
    </xdr:from>
    <xdr:to>
      <xdr:col>13</xdr:col>
      <xdr:colOff>425450</xdr:colOff>
      <xdr:row>19</xdr:row>
      <xdr:rowOff>0</xdr:rowOff>
    </xdr:to>
    <xdr:sp macro="[0]!GOTOSHEET_cand_credits" textlink="">
      <xdr:nvSpPr>
        <xdr:cNvPr id="16" name="Rounded Rectangle 15"/>
        <xdr:cNvSpPr/>
      </xdr:nvSpPr>
      <xdr:spPr>
        <a:xfrm>
          <a:off x="6242050" y="3016250"/>
          <a:ext cx="2108200" cy="4826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ctr"/>
          <a:r>
            <a:rPr lang="en-IN" sz="1600" b="1" cap="none" spc="0">
              <a:ln w="0"/>
              <a:solidFill>
                <a:schemeClr val="tx1"/>
              </a:solidFill>
              <a:effectLst>
                <a:outerShdw blurRad="38100" dist="19050" dir="2700000" algn="tl" rotWithShape="0">
                  <a:schemeClr val="dk1">
                    <a:alpha val="40000"/>
                  </a:schemeClr>
                </a:outerShdw>
              </a:effectLst>
              <a:latin typeface="+mn-lt"/>
            </a:rPr>
            <a:t>CANDIDATE</a:t>
          </a:r>
          <a:r>
            <a:rPr lang="en-IN" sz="1600" b="1" cap="none" spc="0" baseline="0">
              <a:ln w="0"/>
              <a:solidFill>
                <a:schemeClr val="tx1"/>
              </a:solidFill>
              <a:effectLst>
                <a:outerShdw blurRad="38100" dist="19050" dir="2700000" algn="tl" rotWithShape="0">
                  <a:schemeClr val="dk1">
                    <a:alpha val="40000"/>
                  </a:schemeClr>
                </a:outerShdw>
              </a:effectLst>
              <a:latin typeface="+mn-lt"/>
            </a:rPr>
            <a:t> SCORE</a:t>
          </a:r>
          <a:endParaRPr lang="en-IN" sz="1600" b="1" cap="none" spc="0">
            <a:ln w="0"/>
            <a:solidFill>
              <a:schemeClr val="tx1"/>
            </a:solidFill>
            <a:effectLst>
              <a:outerShdw blurRad="38100" dist="19050" dir="2700000" algn="tl" rotWithShape="0">
                <a:schemeClr val="dk1">
                  <a:alpha val="40000"/>
                </a:schemeClr>
              </a:outerShdw>
            </a:effectLst>
            <a:latin typeface="+mn-lt"/>
          </a:endParaRPr>
        </a:p>
      </xdr:txBody>
    </xdr:sp>
    <xdr:clientData/>
  </xdr:twoCellAnchor>
  <xdr:twoCellAnchor>
    <xdr:from>
      <xdr:col>16</xdr:col>
      <xdr:colOff>254000</xdr:colOff>
      <xdr:row>0</xdr:row>
      <xdr:rowOff>69850</xdr:rowOff>
    </xdr:from>
    <xdr:to>
      <xdr:col>18</xdr:col>
      <xdr:colOff>177800</xdr:colOff>
      <xdr:row>1</xdr:row>
      <xdr:rowOff>177800</xdr:rowOff>
    </xdr:to>
    <xdr:sp macro="[0]!LogoutButton_Click" textlink="">
      <xdr:nvSpPr>
        <xdr:cNvPr id="17" name="Rounded Rectangle 16"/>
        <xdr:cNvSpPr/>
      </xdr:nvSpPr>
      <xdr:spPr>
        <a:xfrm>
          <a:off x="10007600" y="69850"/>
          <a:ext cx="1143000" cy="2921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IN" sz="1400" b="1" cap="none" spc="0">
              <a:ln w="0"/>
              <a:solidFill>
                <a:schemeClr val="tx1"/>
              </a:solidFill>
              <a:effectLst>
                <a:outerShdw blurRad="38100" dist="19050" dir="2700000" algn="tl" rotWithShape="0">
                  <a:schemeClr val="dk1">
                    <a:alpha val="40000"/>
                  </a:schemeClr>
                </a:outerShdw>
              </a:effectLst>
              <a:latin typeface="+mn-lt"/>
            </a:rPr>
            <a:t>LOGOUT</a:t>
          </a:r>
        </a:p>
      </xdr:txBody>
    </xdr:sp>
    <xdr:clientData/>
  </xdr:twoCellAnchor>
  <xdr:twoCellAnchor editAs="oneCell">
    <xdr:from>
      <xdr:col>0</xdr:col>
      <xdr:colOff>241300</xdr:colOff>
      <xdr:row>0</xdr:row>
      <xdr:rowOff>0</xdr:rowOff>
    </xdr:from>
    <xdr:to>
      <xdr:col>1</xdr:col>
      <xdr:colOff>484423</xdr:colOff>
      <xdr:row>3</xdr:row>
      <xdr:rowOff>120650</xdr:rowOff>
    </xdr:to>
    <xdr:pic>
      <xdr:nvPicPr>
        <xdr:cNvPr id="18" name="Picture 1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1300" y="0"/>
          <a:ext cx="852723" cy="673100"/>
        </a:xfrm>
        <a:prstGeom prst="rect">
          <a:avLst/>
        </a:prstGeom>
      </xdr:spPr>
    </xdr:pic>
    <xdr:clientData/>
  </xdr:twoCellAnchor>
  <xdr:twoCellAnchor>
    <xdr:from>
      <xdr:col>5</xdr:col>
      <xdr:colOff>336550</xdr:colOff>
      <xdr:row>16</xdr:row>
      <xdr:rowOff>95250</xdr:rowOff>
    </xdr:from>
    <xdr:to>
      <xdr:col>9</xdr:col>
      <xdr:colOff>6350</xdr:colOff>
      <xdr:row>18</xdr:row>
      <xdr:rowOff>158750</xdr:rowOff>
    </xdr:to>
    <xdr:sp macro="[0]!GOTOSHEET_profile" textlink="">
      <xdr:nvSpPr>
        <xdr:cNvPr id="19" name="Rounded Rectangle 18"/>
        <xdr:cNvSpPr/>
      </xdr:nvSpPr>
      <xdr:spPr>
        <a:xfrm>
          <a:off x="3384550" y="3041650"/>
          <a:ext cx="2108200" cy="4318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IN" sz="2000" b="1" cap="none" spc="0">
              <a:ln w="0"/>
              <a:solidFill>
                <a:schemeClr val="tx1"/>
              </a:solidFill>
              <a:effectLst>
                <a:outerShdw blurRad="38100" dist="19050" dir="2700000" algn="tl" rotWithShape="0">
                  <a:schemeClr val="dk1">
                    <a:alpha val="40000"/>
                  </a:schemeClr>
                </a:outerShdw>
              </a:effectLst>
              <a:latin typeface="+mn-lt"/>
            </a:rPr>
            <a:t>PROFILE</a:t>
          </a:r>
        </a:p>
      </xdr:txBody>
    </xdr:sp>
    <xdr:clientData/>
  </xdr:twoCellAnchor>
  <xdr:twoCellAnchor>
    <xdr:from>
      <xdr:col>15</xdr:col>
      <xdr:colOff>25400</xdr:colOff>
      <xdr:row>10</xdr:row>
      <xdr:rowOff>50800</xdr:rowOff>
    </xdr:from>
    <xdr:to>
      <xdr:col>18</xdr:col>
      <xdr:colOff>241300</xdr:colOff>
      <xdr:row>12</xdr:row>
      <xdr:rowOff>25400</xdr:rowOff>
    </xdr:to>
    <xdr:sp macro="[0]!OpenQueryForm" textlink="">
      <xdr:nvSpPr>
        <xdr:cNvPr id="21" name="Rounded Rectangle 20"/>
        <xdr:cNvSpPr/>
      </xdr:nvSpPr>
      <xdr:spPr>
        <a:xfrm>
          <a:off x="9169400" y="1892300"/>
          <a:ext cx="2044700" cy="342900"/>
        </a:xfrm>
        <a:prstGeom prst="roundRect">
          <a:avLst/>
        </a:prstGeom>
        <a:effectLst>
          <a:outerShdw blurRad="50800" dist="38100" dir="18900000" algn="b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scene3d>
            <a:camera prst="orthographicFront"/>
            <a:lightRig rig="soft" dir="t">
              <a:rot lat="0" lon="0" rev="15600000"/>
            </a:lightRig>
          </a:scene3d>
          <a:sp3d extrusionH="57150" prstMaterial="softEdge">
            <a:bevelT w="25400" h="38100"/>
          </a:sp3d>
        </a:bodyPr>
        <a:lstStyle/>
        <a:p>
          <a:pPr algn="ctr"/>
          <a:r>
            <a:rPr lang="en-IN" sz="1400" b="1" cap="none" spc="0">
              <a:ln w="0">
                <a:solidFill>
                  <a:schemeClr val="tx1">
                    <a:lumMod val="50000"/>
                    <a:lumOff val="50000"/>
                  </a:schemeClr>
                </a:solidFill>
              </a:ln>
              <a:solidFill>
                <a:srgbClr val="C00000"/>
              </a:solidFill>
              <a:effectLst>
                <a:outerShdw blurRad="38100" dist="19050" dir="2700000" algn="tl" rotWithShape="0">
                  <a:schemeClr val="dk1">
                    <a:alpha val="40000"/>
                  </a:schemeClr>
                </a:outerShdw>
              </a:effectLst>
              <a:latin typeface="Arial Black" panose="020B0A04020102020204" pitchFamily="34" charset="0"/>
            </a:rPr>
            <a:t>Help</a:t>
          </a:r>
          <a:r>
            <a:rPr lang="en-IN" sz="1400" b="1" cap="none" spc="0" baseline="0">
              <a:ln w="0">
                <a:solidFill>
                  <a:schemeClr val="tx1">
                    <a:lumMod val="50000"/>
                    <a:lumOff val="50000"/>
                  </a:schemeClr>
                </a:solidFill>
              </a:ln>
              <a:solidFill>
                <a:srgbClr val="C00000"/>
              </a:solidFill>
              <a:effectLst>
                <a:outerShdw blurRad="38100" dist="19050" dir="2700000" algn="tl" rotWithShape="0">
                  <a:schemeClr val="dk1">
                    <a:alpha val="40000"/>
                  </a:schemeClr>
                </a:outerShdw>
              </a:effectLst>
              <a:latin typeface="Arial Black" panose="020B0A04020102020204" pitchFamily="34" charset="0"/>
            </a:rPr>
            <a:t> Desk Form</a:t>
          </a:r>
          <a:endParaRPr lang="en-IN" sz="2000" b="1" cap="none" spc="0">
            <a:ln w="0">
              <a:solidFill>
                <a:schemeClr val="tx1">
                  <a:lumMod val="50000"/>
                  <a:lumOff val="50000"/>
                </a:schemeClr>
              </a:solidFill>
            </a:ln>
            <a:solidFill>
              <a:srgbClr val="C00000"/>
            </a:solidFill>
            <a:effectLst>
              <a:outerShdw dist="38100" dir="2700000" algn="bl" rotWithShape="0">
                <a:schemeClr val="accent5"/>
              </a:outerShdw>
            </a:effectLst>
            <a:latin typeface="Arial Black" panose="020B0A04020102020204" pitchFamily="34" charset="0"/>
          </a:endParaRPr>
        </a:p>
      </xdr:txBody>
    </xdr:sp>
    <xdr:clientData/>
  </xdr:twoCellAnchor>
  <xdr:twoCellAnchor>
    <xdr:from>
      <xdr:col>15</xdr:col>
      <xdr:colOff>88900</xdr:colOff>
      <xdr:row>13</xdr:row>
      <xdr:rowOff>57150</xdr:rowOff>
    </xdr:from>
    <xdr:to>
      <xdr:col>18</xdr:col>
      <xdr:colOff>254000</xdr:colOff>
      <xdr:row>15</xdr:row>
      <xdr:rowOff>82196</xdr:rowOff>
    </xdr:to>
    <xdr:sp macro="[0]!ShowPrompt" textlink="">
      <xdr:nvSpPr>
        <xdr:cNvPr id="22" name="Rounded Rectangle 21"/>
        <xdr:cNvSpPr/>
      </xdr:nvSpPr>
      <xdr:spPr>
        <a:xfrm>
          <a:off x="9232900" y="2451100"/>
          <a:ext cx="1993900" cy="393346"/>
        </a:xfrm>
        <a:prstGeom prst="roundRect">
          <a:avLst/>
        </a:prstGeom>
        <a:effectLst>
          <a:outerShdw blurRad="50800" dist="38100" dir="18900000" algn="b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scene3d>
            <a:camera prst="orthographicFront"/>
            <a:lightRig rig="soft" dir="t">
              <a:rot lat="0" lon="0" rev="15600000"/>
            </a:lightRig>
          </a:scene3d>
          <a:sp3d extrusionH="57150" prstMaterial="softEdge">
            <a:bevelT w="25400" h="38100"/>
          </a:sp3d>
        </a:bodyPr>
        <a:lstStyle/>
        <a:p>
          <a:pPr algn="ctr"/>
          <a:r>
            <a:rPr lang="en-IN" sz="1600" b="1" cap="none" spc="0">
              <a:ln w="0">
                <a:solidFill>
                  <a:schemeClr val="tx1">
                    <a:lumMod val="50000"/>
                    <a:lumOff val="50000"/>
                  </a:schemeClr>
                </a:solidFill>
              </a:ln>
              <a:solidFill>
                <a:srgbClr val="C00000"/>
              </a:solidFill>
              <a:effectLst>
                <a:outerShdw blurRad="38100" dist="19050" dir="2700000" algn="tl" rotWithShape="0">
                  <a:schemeClr val="dk1">
                    <a:alpha val="40000"/>
                  </a:schemeClr>
                </a:outerShdw>
              </a:effectLst>
              <a:latin typeface="Arial Black" panose="020B0A04020102020204" pitchFamily="34" charset="0"/>
            </a:rPr>
            <a:t>Notification</a:t>
          </a:r>
          <a:endParaRPr lang="en-IN" sz="2000" b="1" cap="none" spc="0">
            <a:ln w="0">
              <a:solidFill>
                <a:schemeClr val="tx1">
                  <a:lumMod val="50000"/>
                  <a:lumOff val="50000"/>
                </a:schemeClr>
              </a:solidFill>
            </a:ln>
            <a:solidFill>
              <a:srgbClr val="C00000"/>
            </a:solidFill>
            <a:effectLst>
              <a:outerShdw dist="38100" dir="2700000" algn="bl" rotWithShape="0">
                <a:schemeClr val="accent5"/>
              </a:outerShdw>
            </a:effectLst>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14111</xdr:colOff>
      <xdr:row>0</xdr:row>
      <xdr:rowOff>0</xdr:rowOff>
    </xdr:from>
    <xdr:to>
      <xdr:col>33</xdr:col>
      <xdr:colOff>455083</xdr:colOff>
      <xdr:row>3</xdr:row>
      <xdr:rowOff>167550</xdr:rowOff>
    </xdr:to>
    <xdr:sp macro="" textlink="">
      <xdr:nvSpPr>
        <xdr:cNvPr id="2" name="Rounded Rectangle 1"/>
        <xdr:cNvSpPr/>
      </xdr:nvSpPr>
      <xdr:spPr>
        <a:xfrm>
          <a:off x="14111" y="0"/>
          <a:ext cx="28465639" cy="7073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soft" dir="t">
              <a:rot lat="0" lon="0" rev="15600000"/>
            </a:lightRig>
          </a:scene3d>
          <a:sp3d extrusionH="57150" prstMaterial="softEdge">
            <a:bevelT w="25400" h="38100"/>
          </a:sp3d>
        </a:bodyPr>
        <a:lstStyle/>
        <a:p>
          <a:pPr algn="ctr"/>
          <a:endParaRPr lang="en-IN" sz="1100" b="1" cap="none" spc="0">
            <a:ln>
              <a:solidFill>
                <a:schemeClr val="tx1"/>
              </a:solidFill>
            </a:ln>
            <a:solidFill>
              <a:srgbClr val="C00000"/>
            </a:solidFill>
            <a:effectLst>
              <a:glow rad="63500">
                <a:schemeClr val="accent1">
                  <a:satMod val="175000"/>
                  <a:alpha val="40000"/>
                </a:schemeClr>
              </a:glow>
            </a:effectLst>
            <a:latin typeface="Arial Black" panose="020B0A04020102020204" pitchFamily="34" charset="0"/>
          </a:endParaRPr>
        </a:p>
      </xdr:txBody>
    </xdr:sp>
    <xdr:clientData/>
  </xdr:twoCellAnchor>
  <xdr:twoCellAnchor>
    <xdr:from>
      <xdr:col>0</xdr:col>
      <xdr:colOff>88900</xdr:colOff>
      <xdr:row>5</xdr:row>
      <xdr:rowOff>21167</xdr:rowOff>
    </xdr:from>
    <xdr:to>
      <xdr:col>1</xdr:col>
      <xdr:colOff>292100</xdr:colOff>
      <xdr:row>6</xdr:row>
      <xdr:rowOff>8467</xdr:rowOff>
    </xdr:to>
    <xdr:sp macro="" textlink="">
      <xdr:nvSpPr>
        <xdr:cNvPr id="3" name="Rectangle 2"/>
        <xdr:cNvSpPr/>
      </xdr:nvSpPr>
      <xdr:spPr>
        <a:xfrm>
          <a:off x="88900" y="938389"/>
          <a:ext cx="1233311" cy="354189"/>
        </a:xfrm>
        <a:prstGeom prst="rect">
          <a:avLst/>
        </a:prstGeom>
      </xdr:spPr>
      <xdr:style>
        <a:lnRef idx="1">
          <a:schemeClr val="accent1"/>
        </a:lnRef>
        <a:fillRef idx="2">
          <a:schemeClr val="accent1"/>
        </a:fillRef>
        <a:effectRef idx="1">
          <a:schemeClr val="accent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ctr"/>
          <a:r>
            <a:rPr lang="en-IN" sz="1600" b="1" cap="none" spc="0">
              <a:ln w="0"/>
              <a:solidFill>
                <a:schemeClr val="tx1"/>
              </a:solidFill>
              <a:effectLst>
                <a:outerShdw blurRad="38100" dist="19050" dir="2700000" algn="tl" rotWithShape="0">
                  <a:schemeClr val="dk1">
                    <a:alpha val="40000"/>
                  </a:schemeClr>
                </a:outerShdw>
              </a:effectLst>
              <a:latin typeface="+mn-lt"/>
            </a:rPr>
            <a:t>Candidate</a:t>
          </a:r>
          <a:endParaRPr lang="en-IN" sz="1200" b="1" cap="none" spc="0">
            <a:ln w="13462">
              <a:solidFill>
                <a:schemeClr val="bg1"/>
              </a:solidFill>
              <a:prstDash val="solid"/>
            </a:ln>
            <a:solidFill>
              <a:srgbClr val="C00000"/>
            </a:solidFill>
            <a:effectLst>
              <a:outerShdw dist="38100" dir="2700000" algn="bl" rotWithShape="0">
                <a:schemeClr val="accent5"/>
              </a:outerShdw>
            </a:effectLst>
            <a:latin typeface="+mn-lt"/>
          </a:endParaRPr>
        </a:p>
      </xdr:txBody>
    </xdr:sp>
    <xdr:clientData/>
  </xdr:twoCellAnchor>
  <xdr:twoCellAnchor>
    <xdr:from>
      <xdr:col>0</xdr:col>
      <xdr:colOff>86784</xdr:colOff>
      <xdr:row>7</xdr:row>
      <xdr:rowOff>280105</xdr:rowOff>
    </xdr:from>
    <xdr:to>
      <xdr:col>1</xdr:col>
      <xdr:colOff>289984</xdr:colOff>
      <xdr:row>9</xdr:row>
      <xdr:rowOff>251883</xdr:rowOff>
    </xdr:to>
    <xdr:sp macro="" textlink="">
      <xdr:nvSpPr>
        <xdr:cNvPr id="7" name="Rectangle 6"/>
        <xdr:cNvSpPr/>
      </xdr:nvSpPr>
      <xdr:spPr>
        <a:xfrm>
          <a:off x="86784" y="1747661"/>
          <a:ext cx="1233311" cy="536222"/>
        </a:xfrm>
        <a:prstGeom prst="rect">
          <a:avLst/>
        </a:prstGeom>
      </xdr:spPr>
      <xdr:style>
        <a:lnRef idx="1">
          <a:schemeClr val="accent1"/>
        </a:lnRef>
        <a:fillRef idx="2">
          <a:schemeClr val="accent1"/>
        </a:fillRef>
        <a:effectRef idx="1">
          <a:schemeClr val="accent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ctr"/>
          <a:r>
            <a:rPr lang="en-IN" sz="1200" b="1" cap="none" spc="0" baseline="0">
              <a:ln w="0"/>
              <a:solidFill>
                <a:schemeClr val="tx1"/>
              </a:solidFill>
              <a:effectLst>
                <a:outerShdw blurRad="38100" dist="19050" dir="2700000" algn="tl" rotWithShape="0">
                  <a:schemeClr val="dk1">
                    <a:alpha val="40000"/>
                  </a:schemeClr>
                </a:outerShdw>
              </a:effectLst>
              <a:latin typeface="+mn-lt"/>
            </a:rPr>
            <a:t>Present</a:t>
          </a:r>
          <a:r>
            <a:rPr lang="en-IN" sz="1400" b="0" cap="none" spc="0" baseline="0">
              <a:ln w="0"/>
              <a:solidFill>
                <a:schemeClr val="tx1"/>
              </a:solidFill>
              <a:effectLst>
                <a:outerShdw blurRad="38100" dist="19050" dir="2700000" algn="tl" rotWithShape="0">
                  <a:schemeClr val="dk1">
                    <a:alpha val="40000"/>
                  </a:schemeClr>
                </a:outerShdw>
              </a:effectLst>
              <a:latin typeface="+mn-lt"/>
            </a:rPr>
            <a:t> </a:t>
          </a:r>
          <a:r>
            <a:rPr lang="en-IN" sz="1400" b="1" cap="none" spc="0" baseline="0">
              <a:ln w="0"/>
              <a:solidFill>
                <a:schemeClr val="tx1"/>
              </a:solidFill>
              <a:effectLst>
                <a:outerShdw blurRad="38100" dist="19050" dir="2700000" algn="tl" rotWithShape="0">
                  <a:schemeClr val="dk1">
                    <a:alpha val="40000"/>
                  </a:schemeClr>
                </a:outerShdw>
              </a:effectLst>
              <a:latin typeface="+mn-lt"/>
            </a:rPr>
            <a:t>Count</a:t>
          </a:r>
          <a:endParaRPr lang="en-IN" sz="1200" b="1" cap="none" spc="0">
            <a:ln w="13462">
              <a:solidFill>
                <a:schemeClr val="bg1"/>
              </a:solidFill>
              <a:prstDash val="solid"/>
            </a:ln>
            <a:solidFill>
              <a:srgbClr val="C00000"/>
            </a:solidFill>
            <a:effectLst>
              <a:outerShdw dist="38100" dir="2700000" algn="bl" rotWithShape="0">
                <a:schemeClr val="accent5"/>
              </a:outerShdw>
            </a:effectLst>
            <a:latin typeface="+mn-lt"/>
          </a:endParaRPr>
        </a:p>
      </xdr:txBody>
    </xdr:sp>
    <xdr:clientData/>
  </xdr:twoCellAnchor>
  <xdr:twoCellAnchor>
    <xdr:from>
      <xdr:col>0</xdr:col>
      <xdr:colOff>120650</xdr:colOff>
      <xdr:row>11</xdr:row>
      <xdr:rowOff>155222</xdr:rowOff>
    </xdr:from>
    <xdr:to>
      <xdr:col>1</xdr:col>
      <xdr:colOff>323850</xdr:colOff>
      <xdr:row>14</xdr:row>
      <xdr:rowOff>53622</xdr:rowOff>
    </xdr:to>
    <xdr:sp macro="" textlink="">
      <xdr:nvSpPr>
        <xdr:cNvPr id="8" name="Rectangle 7"/>
        <xdr:cNvSpPr/>
      </xdr:nvSpPr>
      <xdr:spPr>
        <a:xfrm>
          <a:off x="120650" y="2652889"/>
          <a:ext cx="1233311" cy="667455"/>
        </a:xfrm>
        <a:prstGeom prst="rect">
          <a:avLst/>
        </a:prstGeom>
      </xdr:spPr>
      <xdr:style>
        <a:lnRef idx="1">
          <a:schemeClr val="accent1"/>
        </a:lnRef>
        <a:fillRef idx="2">
          <a:schemeClr val="accent1"/>
        </a:fillRef>
        <a:effectRef idx="1">
          <a:schemeClr val="accent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ctr"/>
          <a:r>
            <a:rPr lang="en-IN" sz="1400" b="1" cap="none" spc="0">
              <a:ln w="0"/>
              <a:solidFill>
                <a:schemeClr val="tx1"/>
              </a:solidFill>
              <a:effectLst>
                <a:outerShdw blurRad="38100" dist="19050" dir="2700000" algn="tl" rotWithShape="0">
                  <a:schemeClr val="dk1">
                    <a:alpha val="40000"/>
                  </a:schemeClr>
                </a:outerShdw>
              </a:effectLst>
              <a:latin typeface="+mn-lt"/>
            </a:rPr>
            <a:t>Absent</a:t>
          </a:r>
          <a:r>
            <a:rPr lang="en-IN" sz="1400" b="1" cap="none" spc="0" baseline="0">
              <a:ln w="0"/>
              <a:solidFill>
                <a:schemeClr val="tx1"/>
              </a:solidFill>
              <a:effectLst>
                <a:outerShdw blurRad="38100" dist="19050" dir="2700000" algn="tl" rotWithShape="0">
                  <a:schemeClr val="dk1">
                    <a:alpha val="40000"/>
                  </a:schemeClr>
                </a:outerShdw>
              </a:effectLst>
              <a:latin typeface="+mn-lt"/>
            </a:rPr>
            <a:t> Count</a:t>
          </a:r>
          <a:endParaRPr lang="en-IN" sz="1200" b="1" cap="none" spc="0">
            <a:ln w="13462">
              <a:solidFill>
                <a:schemeClr val="bg1"/>
              </a:solidFill>
              <a:prstDash val="solid"/>
            </a:ln>
            <a:solidFill>
              <a:srgbClr val="C00000"/>
            </a:solidFill>
            <a:effectLst>
              <a:outerShdw dist="38100" dir="2700000" algn="bl" rotWithShape="0">
                <a:schemeClr val="accent5"/>
              </a:outerShdw>
            </a:effectLst>
            <a:latin typeface="+mn-lt"/>
          </a:endParaRPr>
        </a:p>
      </xdr:txBody>
    </xdr:sp>
    <xdr:clientData/>
  </xdr:twoCellAnchor>
  <xdr:twoCellAnchor>
    <xdr:from>
      <xdr:col>0</xdr:col>
      <xdr:colOff>158750</xdr:colOff>
      <xdr:row>15</xdr:row>
      <xdr:rowOff>177800</xdr:rowOff>
    </xdr:from>
    <xdr:to>
      <xdr:col>1</xdr:col>
      <xdr:colOff>361950</xdr:colOff>
      <xdr:row>18</xdr:row>
      <xdr:rowOff>76200</xdr:rowOff>
    </xdr:to>
    <xdr:sp macro="" textlink="">
      <xdr:nvSpPr>
        <xdr:cNvPr id="9" name="Rectangle 8"/>
        <xdr:cNvSpPr/>
      </xdr:nvSpPr>
      <xdr:spPr>
        <a:xfrm>
          <a:off x="158750" y="3219450"/>
          <a:ext cx="1231900" cy="450850"/>
        </a:xfrm>
        <a:prstGeom prst="rect">
          <a:avLst/>
        </a:prstGeom>
      </xdr:spPr>
      <xdr:style>
        <a:lnRef idx="1">
          <a:schemeClr val="accent1"/>
        </a:lnRef>
        <a:fillRef idx="2">
          <a:schemeClr val="accent1"/>
        </a:fillRef>
        <a:effectRef idx="1">
          <a:schemeClr val="accent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ctr"/>
          <a:r>
            <a:rPr lang="en-IN" sz="1400" b="1" cap="none" spc="0">
              <a:ln w="0"/>
              <a:solidFill>
                <a:schemeClr val="tx1"/>
              </a:solidFill>
              <a:effectLst>
                <a:outerShdw blurRad="38100" dist="19050" dir="2700000" algn="tl" rotWithShape="0">
                  <a:schemeClr val="dk1">
                    <a:alpha val="40000"/>
                  </a:schemeClr>
                </a:outerShdw>
              </a:effectLst>
              <a:latin typeface="+mn-lt"/>
            </a:rPr>
            <a:t>Total</a:t>
          </a:r>
          <a:r>
            <a:rPr lang="en-IN" sz="1400" b="1" cap="none" spc="0" baseline="0">
              <a:ln w="0"/>
              <a:solidFill>
                <a:schemeClr val="tx1"/>
              </a:solidFill>
              <a:effectLst>
                <a:outerShdw blurRad="38100" dist="19050" dir="2700000" algn="tl" rotWithShape="0">
                  <a:schemeClr val="dk1">
                    <a:alpha val="40000"/>
                  </a:schemeClr>
                </a:outerShdw>
              </a:effectLst>
              <a:latin typeface="+mn-lt"/>
            </a:rPr>
            <a:t> Sessions</a:t>
          </a:r>
          <a:endParaRPr lang="en-IN" sz="1200" b="1" cap="none" spc="0">
            <a:ln w="13462">
              <a:solidFill>
                <a:schemeClr val="bg1"/>
              </a:solidFill>
              <a:prstDash val="solid"/>
            </a:ln>
            <a:solidFill>
              <a:srgbClr val="C00000"/>
            </a:solidFill>
            <a:effectLst>
              <a:outerShdw dist="38100" dir="2700000" algn="bl" rotWithShape="0">
                <a:schemeClr val="accent5"/>
              </a:outerShdw>
            </a:effectLst>
            <a:latin typeface="+mn-lt"/>
          </a:endParaRPr>
        </a:p>
      </xdr:txBody>
    </xdr:sp>
    <xdr:clientData/>
  </xdr:twoCellAnchor>
  <xdr:twoCellAnchor>
    <xdr:from>
      <xdr:col>5</xdr:col>
      <xdr:colOff>1171926</xdr:colOff>
      <xdr:row>5</xdr:row>
      <xdr:rowOff>142522</xdr:rowOff>
    </xdr:from>
    <xdr:to>
      <xdr:col>7</xdr:col>
      <xdr:colOff>330199</xdr:colOff>
      <xdr:row>6</xdr:row>
      <xdr:rowOff>129822</xdr:rowOff>
    </xdr:to>
    <xdr:sp macro="" textlink="">
      <xdr:nvSpPr>
        <xdr:cNvPr id="14" name="Rectangle 13"/>
        <xdr:cNvSpPr/>
      </xdr:nvSpPr>
      <xdr:spPr>
        <a:xfrm>
          <a:off x="4918426" y="1059744"/>
          <a:ext cx="1359606" cy="368300"/>
        </a:xfrm>
        <a:prstGeom prst="rect">
          <a:avLst/>
        </a:prstGeom>
      </xdr:spPr>
      <xdr:style>
        <a:lnRef idx="1">
          <a:schemeClr val="accent4"/>
        </a:lnRef>
        <a:fillRef idx="2">
          <a:schemeClr val="accent4"/>
        </a:fillRef>
        <a:effectRef idx="1">
          <a:schemeClr val="accent4"/>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ctr"/>
          <a:r>
            <a:rPr lang="en-IN" sz="1600" b="1" cap="none" spc="0">
              <a:ln w="0"/>
              <a:solidFill>
                <a:schemeClr val="tx1"/>
              </a:solidFill>
              <a:effectLst>
                <a:outerShdw blurRad="38100" dist="19050" dir="2700000" algn="tl" rotWithShape="0">
                  <a:schemeClr val="dk1">
                    <a:alpha val="40000"/>
                  </a:schemeClr>
                </a:outerShdw>
              </a:effectLst>
              <a:latin typeface="+mn-lt"/>
            </a:rPr>
            <a:t>Total</a:t>
          </a:r>
          <a:r>
            <a:rPr lang="en-IN" sz="1600" b="1" cap="none" spc="0" baseline="0">
              <a:ln w="0"/>
              <a:solidFill>
                <a:schemeClr val="tx1"/>
              </a:solidFill>
              <a:effectLst>
                <a:outerShdw blurRad="38100" dist="19050" dir="2700000" algn="tl" rotWithShape="0">
                  <a:schemeClr val="dk1">
                    <a:alpha val="40000"/>
                  </a:schemeClr>
                </a:outerShdw>
              </a:effectLst>
              <a:latin typeface="+mn-lt"/>
            </a:rPr>
            <a:t> Tasks</a:t>
          </a:r>
          <a:endParaRPr lang="en-IN" sz="1200" b="1" cap="none" spc="0">
            <a:ln w="13462">
              <a:solidFill>
                <a:schemeClr val="bg1"/>
              </a:solidFill>
              <a:prstDash val="solid"/>
            </a:ln>
            <a:solidFill>
              <a:srgbClr val="C00000"/>
            </a:solidFill>
            <a:effectLst>
              <a:outerShdw dist="38100" dir="2700000" algn="bl" rotWithShape="0">
                <a:schemeClr val="accent5"/>
              </a:outerShdw>
            </a:effectLst>
            <a:latin typeface="+mn-lt"/>
          </a:endParaRPr>
        </a:p>
      </xdr:txBody>
    </xdr:sp>
    <xdr:clientData/>
  </xdr:twoCellAnchor>
  <xdr:twoCellAnchor>
    <xdr:from>
      <xdr:col>5</xdr:col>
      <xdr:colOff>1190272</xdr:colOff>
      <xdr:row>8</xdr:row>
      <xdr:rowOff>177095</xdr:rowOff>
    </xdr:from>
    <xdr:to>
      <xdr:col>7</xdr:col>
      <xdr:colOff>348545</xdr:colOff>
      <xdr:row>10</xdr:row>
      <xdr:rowOff>10584</xdr:rowOff>
    </xdr:to>
    <xdr:sp macro="" textlink="">
      <xdr:nvSpPr>
        <xdr:cNvPr id="15" name="Rectangle 14"/>
        <xdr:cNvSpPr/>
      </xdr:nvSpPr>
      <xdr:spPr>
        <a:xfrm>
          <a:off x="4936772" y="1955095"/>
          <a:ext cx="1359606" cy="369711"/>
        </a:xfrm>
        <a:prstGeom prst="rect">
          <a:avLst/>
        </a:prstGeom>
      </xdr:spPr>
      <xdr:style>
        <a:lnRef idx="1">
          <a:schemeClr val="accent4"/>
        </a:lnRef>
        <a:fillRef idx="2">
          <a:schemeClr val="accent4"/>
        </a:fillRef>
        <a:effectRef idx="1">
          <a:schemeClr val="accent4"/>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ctr"/>
          <a:r>
            <a:rPr lang="en-IN" sz="1600" b="1" cap="none" spc="0" baseline="0">
              <a:ln>
                <a:noFill/>
              </a:ln>
              <a:solidFill>
                <a:schemeClr val="dk1"/>
              </a:solidFill>
              <a:effectLst>
                <a:outerShdw blurRad="38100" dist="19050" dir="2700000" algn="tl" rotWithShape="0">
                  <a:schemeClr val="dk1">
                    <a:alpha val="40000"/>
                  </a:schemeClr>
                </a:outerShdw>
              </a:effectLst>
              <a:latin typeface="+mn-lt"/>
              <a:ea typeface="+mn-ea"/>
              <a:cs typeface="+mn-cs"/>
            </a:rPr>
            <a:t>Completed</a:t>
          </a:r>
          <a:endParaRPr lang="en-IN" sz="1200" b="1" cap="none" spc="0">
            <a:ln w="13462">
              <a:solidFill>
                <a:schemeClr val="bg1"/>
              </a:solidFill>
              <a:prstDash val="solid"/>
            </a:ln>
            <a:solidFill>
              <a:schemeClr val="tx1"/>
            </a:solidFill>
            <a:effectLst>
              <a:outerShdw dist="38100" dir="2700000" algn="bl" rotWithShape="0">
                <a:schemeClr val="accent5"/>
              </a:outerShdw>
            </a:effectLst>
            <a:latin typeface="+mn-lt"/>
          </a:endParaRPr>
        </a:p>
      </xdr:txBody>
    </xdr:sp>
    <xdr:clientData/>
  </xdr:twoCellAnchor>
  <xdr:twoCellAnchor>
    <xdr:from>
      <xdr:col>5</xdr:col>
      <xdr:colOff>1217789</xdr:colOff>
      <xdr:row>12</xdr:row>
      <xdr:rowOff>53623</xdr:rowOff>
    </xdr:from>
    <xdr:to>
      <xdr:col>7</xdr:col>
      <xdr:colOff>376062</xdr:colOff>
      <xdr:row>14</xdr:row>
      <xdr:rowOff>53622</xdr:rowOff>
    </xdr:to>
    <xdr:sp macro="" textlink="">
      <xdr:nvSpPr>
        <xdr:cNvPr id="16" name="Rectangle 15"/>
        <xdr:cNvSpPr/>
      </xdr:nvSpPr>
      <xdr:spPr>
        <a:xfrm>
          <a:off x="4964289" y="2904067"/>
          <a:ext cx="1359606" cy="500944"/>
        </a:xfrm>
        <a:prstGeom prst="rect">
          <a:avLst/>
        </a:prstGeom>
      </xdr:spPr>
      <xdr:style>
        <a:lnRef idx="1">
          <a:schemeClr val="accent4"/>
        </a:lnRef>
        <a:fillRef idx="2">
          <a:schemeClr val="accent4"/>
        </a:fillRef>
        <a:effectRef idx="1">
          <a:schemeClr val="accent4"/>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ctr"/>
          <a:r>
            <a:rPr lang="en-IN" sz="1600" b="1" cap="none" spc="0">
              <a:ln w="0"/>
              <a:solidFill>
                <a:schemeClr val="tx1"/>
              </a:solidFill>
              <a:effectLst>
                <a:outerShdw blurRad="38100" dist="19050" dir="2700000" algn="tl" rotWithShape="0">
                  <a:schemeClr val="dk1">
                    <a:alpha val="40000"/>
                  </a:schemeClr>
                </a:outerShdw>
              </a:effectLst>
              <a:latin typeface="+mn-lt"/>
            </a:rPr>
            <a:t>Remaining</a:t>
          </a:r>
          <a:endParaRPr lang="en-IN" sz="1200" b="1" cap="none" spc="0">
            <a:ln w="13462">
              <a:solidFill>
                <a:schemeClr val="bg1"/>
              </a:solidFill>
              <a:prstDash val="solid"/>
            </a:ln>
            <a:solidFill>
              <a:srgbClr val="C00000"/>
            </a:solidFill>
            <a:effectLst>
              <a:outerShdw dist="38100" dir="2700000" algn="bl" rotWithShape="0">
                <a:schemeClr val="accent5"/>
              </a:outerShdw>
            </a:effectLst>
            <a:latin typeface="+mn-lt"/>
          </a:endParaRPr>
        </a:p>
      </xdr:txBody>
    </xdr:sp>
    <xdr:clientData/>
  </xdr:twoCellAnchor>
  <xdr:twoCellAnchor>
    <xdr:from>
      <xdr:col>8</xdr:col>
      <xdr:colOff>77611</xdr:colOff>
      <xdr:row>5</xdr:row>
      <xdr:rowOff>285750</xdr:rowOff>
    </xdr:from>
    <xdr:to>
      <xdr:col>10</xdr:col>
      <xdr:colOff>165101</xdr:colOff>
      <xdr:row>7</xdr:row>
      <xdr:rowOff>42333</xdr:rowOff>
    </xdr:to>
    <xdr:sp macro="" textlink="">
      <xdr:nvSpPr>
        <xdr:cNvPr id="31" name="Rectangle 30"/>
        <xdr:cNvSpPr/>
      </xdr:nvSpPr>
      <xdr:spPr>
        <a:xfrm>
          <a:off x="6843889" y="1202972"/>
          <a:ext cx="1089379" cy="321028"/>
        </a:xfrm>
        <a:prstGeom prst="rect">
          <a:avLst/>
        </a:prstGeom>
      </xdr:spPr>
      <xdr:style>
        <a:lnRef idx="1">
          <a:schemeClr val="accent6"/>
        </a:lnRef>
        <a:fillRef idx="1001">
          <a:schemeClr val="lt2"/>
        </a:fillRef>
        <a:effectRef idx="1">
          <a:schemeClr val="accent6"/>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l"/>
          <a:r>
            <a:rPr lang="en-IN" sz="1100" b="1" cap="none" spc="0">
              <a:ln w="0"/>
              <a:solidFill>
                <a:schemeClr val="tx1"/>
              </a:solidFill>
              <a:effectLst>
                <a:outerShdw blurRad="38100" dist="19050" dir="2700000" algn="tl" rotWithShape="0">
                  <a:schemeClr val="dk1">
                    <a:alpha val="40000"/>
                  </a:schemeClr>
                </a:outerShdw>
              </a:effectLst>
              <a:latin typeface="+mn-lt"/>
            </a:rPr>
            <a:t>Credits </a:t>
          </a:r>
          <a:r>
            <a:rPr lang="en-IN" sz="1200" b="1" cap="none" spc="0" baseline="0">
              <a:ln w="0"/>
              <a:solidFill>
                <a:schemeClr val="tx1"/>
              </a:solidFill>
              <a:effectLst>
                <a:outerShdw blurRad="38100" dist="19050" dir="2700000" algn="tl" rotWithShape="0">
                  <a:schemeClr val="dk1">
                    <a:alpha val="40000"/>
                  </a:schemeClr>
                </a:outerShdw>
              </a:effectLst>
              <a:latin typeface="+mn-lt"/>
            </a:rPr>
            <a:t>Earned</a:t>
          </a:r>
          <a:endParaRPr lang="en-IN" sz="1200" b="1" cap="none" spc="0">
            <a:ln w="13462">
              <a:solidFill>
                <a:schemeClr val="bg1"/>
              </a:solidFill>
              <a:prstDash val="solid"/>
            </a:ln>
            <a:solidFill>
              <a:srgbClr val="C00000"/>
            </a:solidFill>
            <a:effectLst>
              <a:outerShdw dist="38100" dir="2700000" algn="bl" rotWithShape="0">
                <a:schemeClr val="accent5"/>
              </a:outerShdw>
            </a:effectLst>
            <a:latin typeface="+mn-lt"/>
          </a:endParaRPr>
        </a:p>
      </xdr:txBody>
    </xdr:sp>
    <xdr:clientData/>
  </xdr:twoCellAnchor>
  <xdr:twoCellAnchor>
    <xdr:from>
      <xdr:col>3</xdr:col>
      <xdr:colOff>130492</xdr:colOff>
      <xdr:row>3</xdr:row>
      <xdr:rowOff>150813</xdr:rowOff>
    </xdr:from>
    <xdr:to>
      <xdr:col>3</xdr:col>
      <xdr:colOff>176211</xdr:colOff>
      <xdr:row>27</xdr:row>
      <xdr:rowOff>149226</xdr:rowOff>
    </xdr:to>
    <xdr:sp macro="" textlink="">
      <xdr:nvSpPr>
        <xdr:cNvPr id="33" name="Diagonal Stripe 32"/>
        <xdr:cNvSpPr/>
      </xdr:nvSpPr>
      <xdr:spPr>
        <a:xfrm flipH="1">
          <a:off x="2583180" y="698501"/>
          <a:ext cx="45719" cy="5237163"/>
        </a:xfrm>
        <a:prstGeom prst="diagStripe">
          <a:avLst/>
        </a:prstGeom>
      </xdr:spPr>
      <xdr:style>
        <a:lnRef idx="1">
          <a:schemeClr val="accent1"/>
        </a:lnRef>
        <a:fillRef idx="2">
          <a:schemeClr val="accent1"/>
        </a:fillRef>
        <a:effectRef idx="1">
          <a:schemeClr val="accent1"/>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l"/>
          <a:endParaRPr lang="en-IN" sz="2000" b="1" cap="none" spc="0">
            <a:ln w="13462">
              <a:solidFill>
                <a:schemeClr val="bg1"/>
              </a:solidFill>
              <a:prstDash val="solid"/>
            </a:ln>
            <a:solidFill>
              <a:srgbClr val="C00000"/>
            </a:solidFill>
            <a:effectLst>
              <a:outerShdw dist="38100" dir="2700000" algn="bl" rotWithShape="0">
                <a:schemeClr val="accent5"/>
              </a:outerShdw>
            </a:effectLst>
            <a:latin typeface="Arial Black" panose="020B0A04020102020204" pitchFamily="34" charset="0"/>
          </a:endParaRPr>
        </a:p>
      </xdr:txBody>
    </xdr:sp>
    <xdr:clientData/>
  </xdr:twoCellAnchor>
  <xdr:twoCellAnchor>
    <xdr:from>
      <xdr:col>5</xdr:col>
      <xdr:colOff>469898</xdr:colOff>
      <xdr:row>3</xdr:row>
      <xdr:rowOff>182561</xdr:rowOff>
    </xdr:from>
    <xdr:to>
      <xdr:col>5</xdr:col>
      <xdr:colOff>515617</xdr:colOff>
      <xdr:row>28</xdr:row>
      <xdr:rowOff>7936</xdr:rowOff>
    </xdr:to>
    <xdr:sp macro="" textlink="">
      <xdr:nvSpPr>
        <xdr:cNvPr id="34" name="Diagonal Stripe 33"/>
        <xdr:cNvSpPr/>
      </xdr:nvSpPr>
      <xdr:spPr>
        <a:xfrm flipH="1">
          <a:off x="4470398" y="730249"/>
          <a:ext cx="45719" cy="5318125"/>
        </a:xfrm>
        <a:prstGeom prst="diagStripe">
          <a:avLst/>
        </a:prstGeom>
      </xdr:spPr>
      <xdr:style>
        <a:lnRef idx="1">
          <a:schemeClr val="accent1"/>
        </a:lnRef>
        <a:fillRef idx="2">
          <a:schemeClr val="accent1"/>
        </a:fillRef>
        <a:effectRef idx="1">
          <a:schemeClr val="accent1"/>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l"/>
          <a:endParaRPr lang="en-IN" sz="2000" b="1" cap="none" spc="0">
            <a:ln w="13462">
              <a:solidFill>
                <a:schemeClr val="bg1"/>
              </a:solidFill>
              <a:prstDash val="solid"/>
            </a:ln>
            <a:solidFill>
              <a:srgbClr val="C00000"/>
            </a:solidFill>
            <a:effectLst>
              <a:outerShdw dist="38100" dir="2700000" algn="bl" rotWithShape="0">
                <a:schemeClr val="accent5"/>
              </a:outerShdw>
            </a:effectLst>
            <a:latin typeface="Arial Black" panose="020B0A04020102020204" pitchFamily="34" charset="0"/>
          </a:endParaRPr>
        </a:p>
      </xdr:txBody>
    </xdr:sp>
    <xdr:clientData/>
  </xdr:twoCellAnchor>
  <xdr:twoCellAnchor>
    <xdr:from>
      <xdr:col>7</xdr:col>
      <xdr:colOff>651931</xdr:colOff>
      <xdr:row>4</xdr:row>
      <xdr:rowOff>13406</xdr:rowOff>
    </xdr:from>
    <xdr:to>
      <xdr:col>7</xdr:col>
      <xdr:colOff>697650</xdr:colOff>
      <xdr:row>28</xdr:row>
      <xdr:rowOff>39687</xdr:rowOff>
    </xdr:to>
    <xdr:sp macro="" textlink="">
      <xdr:nvSpPr>
        <xdr:cNvPr id="35" name="Diagonal Stripe 34"/>
        <xdr:cNvSpPr/>
      </xdr:nvSpPr>
      <xdr:spPr>
        <a:xfrm flipH="1">
          <a:off x="6859056" y="743656"/>
          <a:ext cx="45719" cy="5336469"/>
        </a:xfrm>
        <a:prstGeom prst="diagStripe">
          <a:avLst/>
        </a:prstGeom>
      </xdr:spPr>
      <xdr:style>
        <a:lnRef idx="1">
          <a:schemeClr val="accent1"/>
        </a:lnRef>
        <a:fillRef idx="2">
          <a:schemeClr val="accent1"/>
        </a:fillRef>
        <a:effectRef idx="1">
          <a:schemeClr val="accent1"/>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l"/>
          <a:endParaRPr lang="en-IN" sz="2000" b="1" cap="none" spc="0">
            <a:ln w="13462">
              <a:solidFill>
                <a:schemeClr val="bg1"/>
              </a:solidFill>
              <a:prstDash val="solid"/>
            </a:ln>
            <a:solidFill>
              <a:srgbClr val="C00000"/>
            </a:solidFill>
            <a:effectLst>
              <a:outerShdw dist="38100" dir="2700000" algn="bl" rotWithShape="0">
                <a:schemeClr val="accent5"/>
              </a:outerShdw>
            </a:effectLst>
            <a:latin typeface="Arial Black" panose="020B0A04020102020204" pitchFamily="34" charset="0"/>
          </a:endParaRPr>
        </a:p>
      </xdr:txBody>
    </xdr:sp>
    <xdr:clientData/>
  </xdr:twoCellAnchor>
  <xdr:twoCellAnchor>
    <xdr:from>
      <xdr:col>8</xdr:col>
      <xdr:colOff>158750</xdr:colOff>
      <xdr:row>10</xdr:row>
      <xdr:rowOff>82550</xdr:rowOff>
    </xdr:from>
    <xdr:to>
      <xdr:col>10</xdr:col>
      <xdr:colOff>171450</xdr:colOff>
      <xdr:row>12</xdr:row>
      <xdr:rowOff>82550</xdr:rowOff>
    </xdr:to>
    <xdr:sp macro="" textlink="">
      <xdr:nvSpPr>
        <xdr:cNvPr id="36" name="Rectangle 35"/>
        <xdr:cNvSpPr/>
      </xdr:nvSpPr>
      <xdr:spPr>
        <a:xfrm>
          <a:off x="6718300" y="2292350"/>
          <a:ext cx="1231900" cy="368300"/>
        </a:xfrm>
        <a:prstGeom prst="rect">
          <a:avLst/>
        </a:prstGeom>
      </xdr:spPr>
      <xdr:style>
        <a:lnRef idx="1">
          <a:schemeClr val="accent6"/>
        </a:lnRef>
        <a:fillRef idx="1001">
          <a:schemeClr val="lt2"/>
        </a:fillRef>
        <a:effectRef idx="1">
          <a:schemeClr val="accent6"/>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ctr"/>
          <a:r>
            <a:rPr lang="en-IN" sz="1200" b="1" cap="none" spc="0">
              <a:ln w="0"/>
              <a:solidFill>
                <a:schemeClr val="tx1"/>
              </a:solidFill>
              <a:effectLst>
                <a:outerShdw blurRad="38100" dist="19050" dir="2700000" algn="tl" rotWithShape="0">
                  <a:schemeClr val="dk1">
                    <a:alpha val="40000"/>
                  </a:schemeClr>
                </a:outerShdw>
              </a:effectLst>
              <a:latin typeface="+mn-lt"/>
            </a:rPr>
            <a:t>Total Credits</a:t>
          </a:r>
          <a:r>
            <a:rPr lang="en-IN" sz="1200" b="1" cap="none" spc="0" baseline="0">
              <a:ln w="0"/>
              <a:solidFill>
                <a:schemeClr val="tx1"/>
              </a:solidFill>
              <a:effectLst>
                <a:outerShdw blurRad="38100" dist="19050" dir="2700000" algn="tl" rotWithShape="0">
                  <a:schemeClr val="dk1">
                    <a:alpha val="40000"/>
                  </a:schemeClr>
                </a:outerShdw>
              </a:effectLst>
              <a:latin typeface="+mn-lt"/>
            </a:rPr>
            <a:t> </a:t>
          </a:r>
          <a:endParaRPr lang="en-IN" sz="1200" b="1" cap="none" spc="0">
            <a:ln w="13462">
              <a:solidFill>
                <a:schemeClr val="bg1"/>
              </a:solidFill>
              <a:prstDash val="solid"/>
            </a:ln>
            <a:solidFill>
              <a:srgbClr val="C00000"/>
            </a:solidFill>
            <a:effectLst>
              <a:outerShdw dist="38100" dir="2700000" algn="bl" rotWithShape="0">
                <a:schemeClr val="accent5"/>
              </a:outerShdw>
            </a:effectLst>
            <a:latin typeface="+mn-lt"/>
          </a:endParaRPr>
        </a:p>
      </xdr:txBody>
    </xdr:sp>
    <xdr:clientData/>
  </xdr:twoCellAnchor>
  <xdr:twoCellAnchor>
    <xdr:from>
      <xdr:col>10</xdr:col>
      <xdr:colOff>165101</xdr:colOff>
      <xdr:row>6</xdr:row>
      <xdr:rowOff>65264</xdr:rowOff>
    </xdr:from>
    <xdr:to>
      <xdr:col>11</xdr:col>
      <xdr:colOff>184150</xdr:colOff>
      <xdr:row>8</xdr:row>
      <xdr:rowOff>196850</xdr:rowOff>
    </xdr:to>
    <xdr:cxnSp macro="">
      <xdr:nvCxnSpPr>
        <xdr:cNvPr id="38" name="Elbow Connector 37"/>
        <xdr:cNvCxnSpPr>
          <a:stCxn id="31" idx="3"/>
        </xdr:cNvCxnSpPr>
      </xdr:nvCxnSpPr>
      <xdr:spPr>
        <a:xfrm>
          <a:off x="7933268" y="1363486"/>
          <a:ext cx="625826" cy="583142"/>
        </a:xfrm>
        <a:prstGeom prst="bentConnector3">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171450</xdr:colOff>
      <xdr:row>8</xdr:row>
      <xdr:rowOff>203200</xdr:rowOff>
    </xdr:from>
    <xdr:to>
      <xdr:col>11</xdr:col>
      <xdr:colOff>171450</xdr:colOff>
      <xdr:row>11</xdr:row>
      <xdr:rowOff>82550</xdr:rowOff>
    </xdr:to>
    <xdr:cxnSp macro="">
      <xdr:nvCxnSpPr>
        <xdr:cNvPr id="41" name="Elbow Connector 40"/>
        <xdr:cNvCxnSpPr>
          <a:stCxn id="36" idx="3"/>
        </xdr:cNvCxnSpPr>
      </xdr:nvCxnSpPr>
      <xdr:spPr>
        <a:xfrm flipV="1">
          <a:off x="7950200" y="1962150"/>
          <a:ext cx="609600" cy="514350"/>
        </a:xfrm>
        <a:prstGeom prst="bentConnector3">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392289</xdr:colOff>
      <xdr:row>6</xdr:row>
      <xdr:rowOff>70556</xdr:rowOff>
    </xdr:from>
    <xdr:to>
      <xdr:col>13</xdr:col>
      <xdr:colOff>138289</xdr:colOff>
      <xdr:row>7</xdr:row>
      <xdr:rowOff>197556</xdr:rowOff>
    </xdr:to>
    <xdr:sp macro="" textlink="">
      <xdr:nvSpPr>
        <xdr:cNvPr id="46" name="Rectangle 45"/>
        <xdr:cNvSpPr/>
      </xdr:nvSpPr>
      <xdr:spPr>
        <a:xfrm>
          <a:off x="8767233" y="1368778"/>
          <a:ext cx="825500" cy="31044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IN" sz="1200" b="0" cap="none" spc="0" baseline="0">
              <a:ln w="0"/>
              <a:solidFill>
                <a:schemeClr val="bg1"/>
              </a:solidFill>
              <a:effectLst>
                <a:outerShdw blurRad="38100" dist="19050" dir="2700000" algn="tl" rotWithShape="0">
                  <a:schemeClr val="dk1">
                    <a:alpha val="40000"/>
                  </a:schemeClr>
                </a:outerShdw>
              </a:effectLst>
              <a:latin typeface="Arial Black" panose="020B0A04020102020204" pitchFamily="34" charset="0"/>
            </a:rPr>
            <a:t>Rating</a:t>
          </a:r>
          <a:endParaRPr lang="en-IN" sz="12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endParaRPr>
        </a:p>
      </xdr:txBody>
    </xdr:sp>
    <xdr:clientData/>
  </xdr:twoCellAnchor>
  <xdr:twoCellAnchor>
    <xdr:from>
      <xdr:col>7</xdr:col>
      <xdr:colOff>663222</xdr:colOff>
      <xdr:row>0</xdr:row>
      <xdr:rowOff>109715</xdr:rowOff>
    </xdr:from>
    <xdr:to>
      <xdr:col>12</xdr:col>
      <xdr:colOff>234597</xdr:colOff>
      <xdr:row>3</xdr:row>
      <xdr:rowOff>26460</xdr:rowOff>
    </xdr:to>
    <xdr:sp macro="" textlink="">
      <xdr:nvSpPr>
        <xdr:cNvPr id="47" name="TextBox 46"/>
        <xdr:cNvSpPr txBox="1"/>
      </xdr:nvSpPr>
      <xdr:spPr>
        <a:xfrm>
          <a:off x="6870347" y="109715"/>
          <a:ext cx="2619375" cy="464433"/>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b="1" cap="none" spc="0">
              <a:ln/>
              <a:solidFill>
                <a:schemeClr val="bg1"/>
              </a:solidFill>
              <a:effectLst>
                <a:outerShdw blurRad="38100" dist="19050" dir="2700000" algn="tl" rotWithShape="0">
                  <a:schemeClr val="dk1">
                    <a:lumMod val="50000"/>
                    <a:alpha val="40000"/>
                  </a:schemeClr>
                </a:outerShdw>
              </a:effectLst>
              <a:latin typeface="+mn-lt"/>
              <a:ea typeface="+mn-ea"/>
              <a:cs typeface="+mn-cs"/>
            </a:rPr>
            <a:t>ACTIVITY</a:t>
          </a:r>
          <a:r>
            <a:rPr lang="en-IN" sz="2400" b="1" cap="none" spc="0" baseline="0">
              <a:ln/>
              <a:solidFill>
                <a:schemeClr val="bg1"/>
              </a:solidFill>
              <a:effectLst>
                <a:outerShdw blurRad="38100" dist="19050" dir="2700000" algn="tl" rotWithShape="0">
                  <a:schemeClr val="dk1">
                    <a:lumMod val="50000"/>
                    <a:alpha val="40000"/>
                  </a:schemeClr>
                </a:outerShdw>
              </a:effectLst>
              <a:latin typeface="+mn-lt"/>
              <a:ea typeface="+mn-ea"/>
              <a:cs typeface="+mn-cs"/>
            </a:rPr>
            <a:t> TRACKER</a:t>
          </a:r>
          <a:endParaRPr lang="en-IN" sz="2400" b="1" cap="none" spc="0">
            <a:ln/>
            <a:solidFill>
              <a:schemeClr val="bg1"/>
            </a:solidFill>
            <a:effectLst>
              <a:outerShdw blurRad="38100" dist="19050" dir="2700000" algn="tl" rotWithShape="0">
                <a:schemeClr val="dk1">
                  <a:lumMod val="50000"/>
                  <a:alpha val="40000"/>
                </a:schemeClr>
              </a:outerShdw>
            </a:effectLst>
          </a:endParaRPr>
        </a:p>
        <a:p>
          <a:endParaRPr lang="en-IN" sz="1800" b="1" cap="none" spc="0">
            <a:ln/>
            <a:solidFill>
              <a:schemeClr val="bg1"/>
            </a:solidFill>
            <a:effectLst>
              <a:outerShdw blurRad="38100" dist="19050" dir="2700000" algn="tl" rotWithShape="0">
                <a:schemeClr val="dk1">
                  <a:lumMod val="50000"/>
                  <a:alpha val="40000"/>
                </a:schemeClr>
              </a:outerShdw>
            </a:effectLst>
          </a:endParaRPr>
        </a:p>
      </xdr:txBody>
    </xdr:sp>
    <xdr:clientData/>
  </xdr:twoCellAnchor>
  <xdr:twoCellAnchor>
    <xdr:from>
      <xdr:col>13</xdr:col>
      <xdr:colOff>190499</xdr:colOff>
      <xdr:row>4</xdr:row>
      <xdr:rowOff>7937</xdr:rowOff>
    </xdr:from>
    <xdr:to>
      <xdr:col>13</xdr:col>
      <xdr:colOff>274316</xdr:colOff>
      <xdr:row>27</xdr:row>
      <xdr:rowOff>119062</xdr:rowOff>
    </xdr:to>
    <xdr:sp macro="" textlink="">
      <xdr:nvSpPr>
        <xdr:cNvPr id="48" name="Diagonal Stripe 47"/>
        <xdr:cNvSpPr/>
      </xdr:nvSpPr>
      <xdr:spPr>
        <a:xfrm flipH="1">
          <a:off x="9913937" y="738187"/>
          <a:ext cx="83817" cy="5214938"/>
        </a:xfrm>
        <a:prstGeom prst="diagStripe">
          <a:avLst/>
        </a:prstGeom>
      </xdr:spPr>
      <xdr:style>
        <a:lnRef idx="1">
          <a:schemeClr val="accent1"/>
        </a:lnRef>
        <a:fillRef idx="2">
          <a:schemeClr val="accent1"/>
        </a:fillRef>
        <a:effectRef idx="1">
          <a:schemeClr val="accent1"/>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l"/>
          <a:endParaRPr lang="en-IN" sz="2000" b="1" cap="none" spc="0">
            <a:ln w="13462">
              <a:solidFill>
                <a:schemeClr val="bg1"/>
              </a:solidFill>
              <a:prstDash val="solid"/>
            </a:ln>
            <a:solidFill>
              <a:srgbClr val="C00000"/>
            </a:solidFill>
            <a:effectLst>
              <a:outerShdw dist="38100" dir="2700000" algn="bl" rotWithShape="0">
                <a:schemeClr val="accent5"/>
              </a:outerShdw>
            </a:effectLst>
            <a:latin typeface="Arial Black" panose="020B0A04020102020204" pitchFamily="34" charset="0"/>
          </a:endParaRPr>
        </a:p>
      </xdr:txBody>
    </xdr:sp>
    <xdr:clientData/>
  </xdr:twoCellAnchor>
  <xdr:twoCellAnchor>
    <xdr:from>
      <xdr:col>13</xdr:col>
      <xdr:colOff>422274</xdr:colOff>
      <xdr:row>4</xdr:row>
      <xdr:rowOff>47625</xdr:rowOff>
    </xdr:from>
    <xdr:to>
      <xdr:col>15</xdr:col>
      <xdr:colOff>1887537</xdr:colOff>
      <xdr:row>5</xdr:row>
      <xdr:rowOff>231775</xdr:rowOff>
    </xdr:to>
    <xdr:sp macro="" textlink="">
      <xdr:nvSpPr>
        <xdr:cNvPr id="49" name="Rectangle 48"/>
        <xdr:cNvSpPr/>
      </xdr:nvSpPr>
      <xdr:spPr>
        <a:xfrm>
          <a:off x="10145712" y="777875"/>
          <a:ext cx="2687638" cy="374650"/>
        </a:xfrm>
        <a:prstGeom prst="rect">
          <a:avLst/>
        </a:prstGeom>
        <a:solidFill>
          <a:schemeClr val="bg2"/>
        </a:solidFill>
      </xdr:spPr>
      <xdr:style>
        <a:lnRef idx="3">
          <a:schemeClr val="lt1"/>
        </a:lnRef>
        <a:fillRef idx="1">
          <a:schemeClr val="accent3"/>
        </a:fillRef>
        <a:effectRef idx="1">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ctr"/>
          <a:r>
            <a:rPr lang="en-IN" sz="1600" b="1" cap="none" spc="0">
              <a:ln w="0"/>
              <a:solidFill>
                <a:schemeClr val="tx1"/>
              </a:solidFill>
              <a:effectLst>
                <a:outerShdw blurRad="38100" dist="19050" dir="2700000" algn="tl" rotWithShape="0">
                  <a:schemeClr val="dk1">
                    <a:alpha val="40000"/>
                  </a:schemeClr>
                </a:outerShdw>
              </a:effectLst>
              <a:latin typeface="+mn-lt"/>
            </a:rPr>
            <a:t>GitHub</a:t>
          </a:r>
          <a:endParaRPr lang="en-IN" sz="1200" b="1" cap="none" spc="0">
            <a:ln w="13462">
              <a:solidFill>
                <a:schemeClr val="bg1"/>
              </a:solidFill>
              <a:prstDash val="solid"/>
            </a:ln>
            <a:solidFill>
              <a:schemeClr val="bg1"/>
            </a:solidFill>
            <a:effectLst>
              <a:outerShdw dist="38100" dir="2700000" algn="bl" rotWithShape="0">
                <a:schemeClr val="accent5"/>
              </a:outerShdw>
            </a:effectLst>
            <a:latin typeface="+mn-lt"/>
          </a:endParaRPr>
        </a:p>
      </xdr:txBody>
    </xdr:sp>
    <xdr:clientData/>
  </xdr:twoCellAnchor>
  <xdr:twoCellAnchor>
    <xdr:from>
      <xdr:col>16</xdr:col>
      <xdr:colOff>547686</xdr:colOff>
      <xdr:row>3</xdr:row>
      <xdr:rowOff>158750</xdr:rowOff>
    </xdr:from>
    <xdr:to>
      <xdr:col>16</xdr:col>
      <xdr:colOff>598167</xdr:colOff>
      <xdr:row>28</xdr:row>
      <xdr:rowOff>87312</xdr:rowOff>
    </xdr:to>
    <xdr:sp macro="" textlink="">
      <xdr:nvSpPr>
        <xdr:cNvPr id="52" name="Diagonal Stripe 51"/>
        <xdr:cNvSpPr/>
      </xdr:nvSpPr>
      <xdr:spPr>
        <a:xfrm flipH="1">
          <a:off x="12906374" y="706438"/>
          <a:ext cx="50481" cy="5421312"/>
        </a:xfrm>
        <a:prstGeom prst="diagStripe">
          <a:avLst/>
        </a:prstGeom>
      </xdr:spPr>
      <xdr:style>
        <a:lnRef idx="1">
          <a:schemeClr val="accent1"/>
        </a:lnRef>
        <a:fillRef idx="2">
          <a:schemeClr val="accent1"/>
        </a:fillRef>
        <a:effectRef idx="1">
          <a:schemeClr val="accent1"/>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l"/>
          <a:endParaRPr lang="en-IN" sz="2000" b="1" cap="none" spc="0">
            <a:ln w="13462">
              <a:solidFill>
                <a:schemeClr val="bg1"/>
              </a:solidFill>
              <a:prstDash val="solid"/>
            </a:ln>
            <a:solidFill>
              <a:srgbClr val="C00000"/>
            </a:solidFill>
            <a:effectLst>
              <a:outerShdw dist="38100" dir="2700000" algn="bl" rotWithShape="0">
                <a:schemeClr val="accent5"/>
              </a:outerShdw>
            </a:effectLst>
            <a:latin typeface="Arial Black" panose="020B0A04020102020204" pitchFamily="34" charset="0"/>
          </a:endParaRPr>
        </a:p>
      </xdr:txBody>
    </xdr:sp>
    <xdr:clientData/>
  </xdr:twoCellAnchor>
  <xdr:twoCellAnchor>
    <xdr:from>
      <xdr:col>17</xdr:col>
      <xdr:colOff>246944</xdr:colOff>
      <xdr:row>4</xdr:row>
      <xdr:rowOff>98778</xdr:rowOff>
    </xdr:from>
    <xdr:to>
      <xdr:col>20</xdr:col>
      <xdr:colOff>577144</xdr:colOff>
      <xdr:row>5</xdr:row>
      <xdr:rowOff>282928</xdr:rowOff>
    </xdr:to>
    <xdr:sp macro="" textlink="">
      <xdr:nvSpPr>
        <xdr:cNvPr id="53" name="Rectangle 52"/>
        <xdr:cNvSpPr/>
      </xdr:nvSpPr>
      <xdr:spPr>
        <a:xfrm>
          <a:off x="13066888" y="832556"/>
          <a:ext cx="2150534" cy="367594"/>
        </a:xfrm>
        <a:prstGeom prst="rect">
          <a:avLst/>
        </a:prstGeom>
      </xdr:spPr>
      <xdr:style>
        <a:lnRef idx="1">
          <a:schemeClr val="accent1"/>
        </a:lnRef>
        <a:fillRef idx="2">
          <a:schemeClr val="accent1"/>
        </a:fillRef>
        <a:effectRef idx="1">
          <a:schemeClr val="accent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ctr"/>
          <a:r>
            <a:rPr lang="en-IN" sz="1600" b="1" cap="none" spc="0">
              <a:ln w="0"/>
              <a:solidFill>
                <a:schemeClr val="tx1"/>
              </a:solidFill>
              <a:effectLst>
                <a:outerShdw blurRad="38100" dist="19050" dir="2700000" algn="tl" rotWithShape="0">
                  <a:schemeClr val="dk1">
                    <a:alpha val="40000"/>
                  </a:schemeClr>
                </a:outerShdw>
              </a:effectLst>
              <a:latin typeface="+mn-lt"/>
            </a:rPr>
            <a:t>Top</a:t>
          </a:r>
          <a:r>
            <a:rPr lang="en-IN" sz="1600" b="1" cap="none" spc="0" baseline="0">
              <a:ln w="0"/>
              <a:solidFill>
                <a:schemeClr val="tx1"/>
              </a:solidFill>
              <a:effectLst>
                <a:outerShdw blurRad="38100" dist="19050" dir="2700000" algn="tl" rotWithShape="0">
                  <a:schemeClr val="dk1">
                    <a:alpha val="40000"/>
                  </a:schemeClr>
                </a:outerShdw>
              </a:effectLst>
              <a:latin typeface="+mn-lt"/>
            </a:rPr>
            <a:t> 3 Performers</a:t>
          </a:r>
          <a:r>
            <a:rPr lang="en-IN" sz="1400" b="1" cap="none" spc="0" baseline="0">
              <a:ln w="0"/>
              <a:solidFill>
                <a:schemeClr val="tx1"/>
              </a:solidFill>
              <a:effectLst>
                <a:outerShdw blurRad="38100" dist="19050" dir="2700000" algn="tl" rotWithShape="0">
                  <a:schemeClr val="dk1">
                    <a:alpha val="40000"/>
                  </a:schemeClr>
                </a:outerShdw>
              </a:effectLst>
              <a:latin typeface="+mn-lt"/>
            </a:rPr>
            <a:t> - Credits</a:t>
          </a:r>
          <a:endParaRPr lang="en-IN" sz="1200" b="1" cap="none" spc="0">
            <a:ln w="13462">
              <a:solidFill>
                <a:schemeClr val="bg1"/>
              </a:solidFill>
              <a:prstDash val="solid"/>
            </a:ln>
            <a:solidFill>
              <a:srgbClr val="FF0000"/>
            </a:solidFill>
            <a:effectLst>
              <a:outerShdw dist="38100" dir="2700000" algn="bl" rotWithShape="0">
                <a:schemeClr val="accent5"/>
              </a:outerShdw>
            </a:effectLst>
            <a:latin typeface="Arial Black" panose="020B0A04020102020204" pitchFamily="34" charset="0"/>
          </a:endParaRPr>
        </a:p>
      </xdr:txBody>
    </xdr:sp>
    <xdr:clientData/>
  </xdr:twoCellAnchor>
  <xdr:twoCellAnchor>
    <xdr:from>
      <xdr:col>17</xdr:col>
      <xdr:colOff>588887</xdr:colOff>
      <xdr:row>11</xdr:row>
      <xdr:rowOff>141111</xdr:rowOff>
    </xdr:from>
    <xdr:to>
      <xdr:col>20</xdr:col>
      <xdr:colOff>384778</xdr:colOff>
      <xdr:row>12</xdr:row>
      <xdr:rowOff>183444</xdr:rowOff>
    </xdr:to>
    <xdr:sp macro="" textlink="">
      <xdr:nvSpPr>
        <xdr:cNvPr id="54" name="Rectangle 53"/>
        <xdr:cNvSpPr/>
      </xdr:nvSpPr>
      <xdr:spPr>
        <a:xfrm>
          <a:off x="13274776" y="2610555"/>
          <a:ext cx="1806724" cy="31044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IN" sz="12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Overall</a:t>
          </a:r>
          <a:r>
            <a:rPr lang="en-IN" sz="1200" b="0" cap="none" spc="0" baseline="0">
              <a:ln w="0"/>
              <a:solidFill>
                <a:schemeClr val="bg1"/>
              </a:solidFill>
              <a:effectLst>
                <a:outerShdw blurRad="38100" dist="19050" dir="2700000" algn="tl" rotWithShape="0">
                  <a:schemeClr val="dk1">
                    <a:alpha val="40000"/>
                  </a:schemeClr>
                </a:outerShdw>
              </a:effectLst>
              <a:latin typeface="Arial Black" panose="020B0A04020102020204" pitchFamily="34" charset="0"/>
            </a:rPr>
            <a:t> Performer</a:t>
          </a:r>
          <a:endParaRPr lang="en-IN" sz="12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endParaRPr>
        </a:p>
      </xdr:txBody>
    </xdr:sp>
    <xdr:clientData/>
  </xdr:twoCellAnchor>
  <xdr:twoCellAnchor editAs="oneCell">
    <xdr:from>
      <xdr:col>0</xdr:col>
      <xdr:colOff>35277</xdr:colOff>
      <xdr:row>0</xdr:row>
      <xdr:rowOff>0</xdr:rowOff>
    </xdr:from>
    <xdr:to>
      <xdr:col>1</xdr:col>
      <xdr:colOff>7055</xdr:colOff>
      <xdr:row>3</xdr:row>
      <xdr:rowOff>112889</xdr:rowOff>
    </xdr:to>
    <xdr:pic>
      <xdr:nvPicPr>
        <xdr:cNvPr id="56" name="Picture 5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277" y="0"/>
          <a:ext cx="1001889" cy="663222"/>
        </a:xfrm>
        <a:prstGeom prst="rect">
          <a:avLst/>
        </a:prstGeom>
      </xdr:spPr>
    </xdr:pic>
    <xdr:clientData/>
  </xdr:twoCellAnchor>
  <xdr:twoCellAnchor>
    <xdr:from>
      <xdr:col>2</xdr:col>
      <xdr:colOff>39935</xdr:colOff>
      <xdr:row>0</xdr:row>
      <xdr:rowOff>105834</xdr:rowOff>
    </xdr:from>
    <xdr:to>
      <xdr:col>4</xdr:col>
      <xdr:colOff>355176</xdr:colOff>
      <xdr:row>2</xdr:row>
      <xdr:rowOff>148167</xdr:rowOff>
    </xdr:to>
    <xdr:sp macro="[0]!Module3.GOTOSHEET" textlink="">
      <xdr:nvSpPr>
        <xdr:cNvPr id="4" name="Rounded Rectangle 3"/>
        <xdr:cNvSpPr/>
      </xdr:nvSpPr>
      <xdr:spPr>
        <a:xfrm>
          <a:off x="1676824" y="105834"/>
          <a:ext cx="1733408" cy="409222"/>
        </a:xfrm>
        <a:prstGeom prst="roundRect">
          <a:avLst/>
        </a:prstGeom>
        <a:effectLst>
          <a:outerShdw blurRad="50800" dist="38100" dir="18900000" algn="b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scene3d>
            <a:camera prst="orthographicFront"/>
            <a:lightRig rig="soft" dir="t">
              <a:rot lat="0" lon="0" rev="15600000"/>
            </a:lightRig>
          </a:scene3d>
          <a:sp3d extrusionH="57150" prstMaterial="softEdge">
            <a:bevelT w="25400" h="38100"/>
          </a:sp3d>
        </a:bodyPr>
        <a:lstStyle/>
        <a:p>
          <a:pPr algn="ctr"/>
          <a:r>
            <a:rPr lang="en-IN" sz="1800" b="1" cap="none" spc="0">
              <a:ln w="0">
                <a:solidFill>
                  <a:schemeClr val="tx1">
                    <a:lumMod val="50000"/>
                    <a:lumOff val="50000"/>
                  </a:schemeClr>
                </a:solidFill>
              </a:ln>
              <a:solidFill>
                <a:srgbClr val="C00000"/>
              </a:solidFill>
              <a:effectLst>
                <a:outerShdw blurRad="38100" dist="19050" dir="2700000" algn="tl" rotWithShape="0">
                  <a:schemeClr val="dk1">
                    <a:alpha val="40000"/>
                  </a:schemeClr>
                </a:outerShdw>
              </a:effectLst>
              <a:latin typeface="Arial Black" panose="020B0A04020102020204" pitchFamily="34" charset="0"/>
            </a:rPr>
            <a:t>Attendance</a:t>
          </a:r>
          <a:endParaRPr lang="en-IN" sz="2000" b="1" cap="none" spc="0">
            <a:ln w="0">
              <a:solidFill>
                <a:schemeClr val="tx1">
                  <a:lumMod val="50000"/>
                  <a:lumOff val="50000"/>
                </a:schemeClr>
              </a:solidFill>
            </a:ln>
            <a:solidFill>
              <a:srgbClr val="C00000"/>
            </a:solidFill>
            <a:effectLst>
              <a:outerShdw dist="38100" dir="2700000" algn="bl" rotWithShape="0">
                <a:schemeClr val="accent5"/>
              </a:outerShdw>
            </a:effectLst>
            <a:latin typeface="Arial Black" panose="020B0A04020102020204" pitchFamily="34" charset="0"/>
          </a:endParaRPr>
        </a:p>
      </xdr:txBody>
    </xdr:sp>
    <xdr:clientData/>
  </xdr:twoCellAnchor>
  <xdr:twoCellAnchor>
    <xdr:from>
      <xdr:col>4</xdr:col>
      <xdr:colOff>830792</xdr:colOff>
      <xdr:row>0</xdr:row>
      <xdr:rowOff>97013</xdr:rowOff>
    </xdr:from>
    <xdr:to>
      <xdr:col>6</xdr:col>
      <xdr:colOff>536609</xdr:colOff>
      <xdr:row>2</xdr:row>
      <xdr:rowOff>139346</xdr:rowOff>
    </xdr:to>
    <xdr:sp macro="[0]!Module4.GOTOSHEET" textlink="">
      <xdr:nvSpPr>
        <xdr:cNvPr id="30" name="Rounded Rectangle 29"/>
        <xdr:cNvSpPr/>
      </xdr:nvSpPr>
      <xdr:spPr>
        <a:xfrm>
          <a:off x="3894667" y="97013"/>
          <a:ext cx="2237880" cy="407458"/>
        </a:xfrm>
        <a:prstGeom prst="roundRect">
          <a:avLst/>
        </a:prstGeom>
        <a:effectLst>
          <a:outerShdw blurRad="50800" dist="38100" dir="18900000" algn="b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scene3d>
            <a:camera prst="orthographicFront"/>
            <a:lightRig rig="soft" dir="t">
              <a:rot lat="0" lon="0" rev="15600000"/>
            </a:lightRig>
          </a:scene3d>
          <a:sp3d extrusionH="57150" prstMaterial="softEdge">
            <a:bevelT w="25400" h="38100"/>
          </a:sp3d>
        </a:bodyPr>
        <a:lstStyle/>
        <a:p>
          <a:pPr algn="ctr"/>
          <a:r>
            <a:rPr lang="en-IN" sz="1800" b="1" cap="none" spc="0">
              <a:ln w="0">
                <a:solidFill>
                  <a:schemeClr val="tx1">
                    <a:lumMod val="50000"/>
                    <a:lumOff val="50000"/>
                  </a:schemeClr>
                </a:solidFill>
              </a:ln>
              <a:solidFill>
                <a:srgbClr val="C00000"/>
              </a:solidFill>
              <a:effectLst>
                <a:outerShdw blurRad="38100" dist="19050" dir="2700000" algn="tl" rotWithShape="0">
                  <a:schemeClr val="dk1">
                    <a:alpha val="40000"/>
                  </a:schemeClr>
                </a:outerShdw>
              </a:effectLst>
              <a:latin typeface="Arial Black" panose="020B0A04020102020204" pitchFamily="34" charset="0"/>
            </a:rPr>
            <a:t>Task</a:t>
          </a:r>
          <a:r>
            <a:rPr lang="en-IN" sz="1800" b="1" cap="none" spc="0" baseline="0">
              <a:ln w="0">
                <a:solidFill>
                  <a:schemeClr val="tx1">
                    <a:lumMod val="50000"/>
                    <a:lumOff val="50000"/>
                  </a:schemeClr>
                </a:solidFill>
              </a:ln>
              <a:solidFill>
                <a:srgbClr val="C00000"/>
              </a:solidFill>
              <a:effectLst>
                <a:outerShdw blurRad="38100" dist="19050" dir="2700000" algn="tl" rotWithShape="0">
                  <a:schemeClr val="dk1">
                    <a:alpha val="40000"/>
                  </a:schemeClr>
                </a:outerShdw>
              </a:effectLst>
              <a:latin typeface="Arial Black" panose="020B0A04020102020204" pitchFamily="34" charset="0"/>
            </a:rPr>
            <a:t> Sheet</a:t>
          </a:r>
          <a:endParaRPr lang="en-IN" sz="2000" b="1" cap="none" spc="0">
            <a:ln w="0">
              <a:solidFill>
                <a:schemeClr val="tx1">
                  <a:lumMod val="50000"/>
                  <a:lumOff val="50000"/>
                </a:schemeClr>
              </a:solidFill>
            </a:ln>
            <a:solidFill>
              <a:srgbClr val="C00000"/>
            </a:solidFill>
            <a:effectLst>
              <a:outerShdw dist="38100" dir="2700000" algn="bl" rotWithShape="0">
                <a:schemeClr val="accent5"/>
              </a:outerShdw>
            </a:effectLst>
            <a:latin typeface="Arial Black" panose="020B0A04020102020204" pitchFamily="34" charset="0"/>
          </a:endParaRPr>
        </a:p>
      </xdr:txBody>
    </xdr:sp>
    <xdr:clientData/>
  </xdr:twoCellAnchor>
  <xdr:twoCellAnchor>
    <xdr:from>
      <xdr:col>12</xdr:col>
      <xdr:colOff>808743</xdr:colOff>
      <xdr:row>0</xdr:row>
      <xdr:rowOff>134055</xdr:rowOff>
    </xdr:from>
    <xdr:to>
      <xdr:col>15</xdr:col>
      <xdr:colOff>1175137</xdr:colOff>
      <xdr:row>2</xdr:row>
      <xdr:rowOff>162276</xdr:rowOff>
    </xdr:to>
    <xdr:sp macro="[0]!ShowPrompt" textlink="">
      <xdr:nvSpPr>
        <xdr:cNvPr id="32" name="Rounded Rectangle 31"/>
        <xdr:cNvSpPr/>
      </xdr:nvSpPr>
      <xdr:spPr>
        <a:xfrm>
          <a:off x="10063868" y="134055"/>
          <a:ext cx="2557144" cy="393346"/>
        </a:xfrm>
        <a:prstGeom prst="roundRect">
          <a:avLst/>
        </a:prstGeom>
        <a:effectLst>
          <a:outerShdw blurRad="50800" dist="38100" dir="18900000" algn="b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scene3d>
            <a:camera prst="orthographicFront"/>
            <a:lightRig rig="soft" dir="t">
              <a:rot lat="0" lon="0" rev="15600000"/>
            </a:lightRig>
          </a:scene3d>
          <a:sp3d extrusionH="57150" prstMaterial="softEdge">
            <a:bevelT w="25400" h="38100"/>
          </a:sp3d>
        </a:bodyPr>
        <a:lstStyle/>
        <a:p>
          <a:pPr algn="ctr"/>
          <a:r>
            <a:rPr lang="en-IN" sz="1800" b="1" cap="none" spc="0">
              <a:ln w="0">
                <a:solidFill>
                  <a:schemeClr val="tx1">
                    <a:lumMod val="50000"/>
                    <a:lumOff val="50000"/>
                  </a:schemeClr>
                </a:solidFill>
              </a:ln>
              <a:solidFill>
                <a:srgbClr val="C00000"/>
              </a:solidFill>
              <a:effectLst>
                <a:outerShdw blurRad="38100" dist="19050" dir="2700000" algn="tl" rotWithShape="0">
                  <a:schemeClr val="dk1">
                    <a:alpha val="40000"/>
                  </a:schemeClr>
                </a:outerShdw>
              </a:effectLst>
              <a:latin typeface="Arial Black" panose="020B0A04020102020204" pitchFamily="34" charset="0"/>
            </a:rPr>
            <a:t>Notification</a:t>
          </a:r>
          <a:endParaRPr lang="en-IN" sz="2000" b="1" cap="none" spc="0">
            <a:ln w="0">
              <a:solidFill>
                <a:schemeClr val="tx1">
                  <a:lumMod val="50000"/>
                  <a:lumOff val="50000"/>
                </a:schemeClr>
              </a:solidFill>
            </a:ln>
            <a:solidFill>
              <a:srgbClr val="C00000"/>
            </a:solidFill>
            <a:effectLst>
              <a:outerShdw dist="38100" dir="2700000" algn="bl" rotWithShape="0">
                <a:schemeClr val="accent5"/>
              </a:outerShdw>
            </a:effectLst>
            <a:latin typeface="Arial Black" panose="020B0A04020102020204" pitchFamily="34" charset="0"/>
          </a:endParaRPr>
        </a:p>
      </xdr:txBody>
    </xdr:sp>
    <xdr:clientData/>
  </xdr:twoCellAnchor>
  <xdr:twoCellAnchor>
    <xdr:from>
      <xdr:col>21</xdr:col>
      <xdr:colOff>169333</xdr:colOff>
      <xdr:row>4</xdr:row>
      <xdr:rowOff>7055</xdr:rowOff>
    </xdr:from>
    <xdr:to>
      <xdr:col>21</xdr:col>
      <xdr:colOff>215052</xdr:colOff>
      <xdr:row>28</xdr:row>
      <xdr:rowOff>142875</xdr:rowOff>
    </xdr:to>
    <xdr:sp macro="" textlink="">
      <xdr:nvSpPr>
        <xdr:cNvPr id="39" name="Diagonal Stripe 38"/>
        <xdr:cNvSpPr/>
      </xdr:nvSpPr>
      <xdr:spPr>
        <a:xfrm flipH="1">
          <a:off x="15766521" y="737305"/>
          <a:ext cx="45719" cy="5446008"/>
        </a:xfrm>
        <a:prstGeom prst="diagStripe">
          <a:avLst/>
        </a:prstGeom>
      </xdr:spPr>
      <xdr:style>
        <a:lnRef idx="1">
          <a:schemeClr val="accent1"/>
        </a:lnRef>
        <a:fillRef idx="2">
          <a:schemeClr val="accent1"/>
        </a:fillRef>
        <a:effectRef idx="1">
          <a:schemeClr val="accent1"/>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l"/>
          <a:endParaRPr lang="en-IN" sz="2000" b="1" cap="none" spc="0">
            <a:ln w="13462">
              <a:solidFill>
                <a:schemeClr val="bg1"/>
              </a:solidFill>
              <a:prstDash val="solid"/>
            </a:ln>
            <a:solidFill>
              <a:srgbClr val="C00000"/>
            </a:solidFill>
            <a:effectLst>
              <a:outerShdw dist="38100" dir="2700000" algn="bl" rotWithShape="0">
                <a:schemeClr val="accent5"/>
              </a:outerShdw>
            </a:effectLst>
            <a:latin typeface="Arial Black" panose="020B0A04020102020204" pitchFamily="34" charset="0"/>
          </a:endParaRPr>
        </a:p>
      </xdr:txBody>
    </xdr:sp>
    <xdr:clientData/>
  </xdr:twoCellAnchor>
  <xdr:twoCellAnchor>
    <xdr:from>
      <xdr:col>21</xdr:col>
      <xdr:colOff>380999</xdr:colOff>
      <xdr:row>4</xdr:row>
      <xdr:rowOff>91722</xdr:rowOff>
    </xdr:from>
    <xdr:to>
      <xdr:col>29</xdr:col>
      <xdr:colOff>47624</xdr:colOff>
      <xdr:row>5</xdr:row>
      <xdr:rowOff>285750</xdr:rowOff>
    </xdr:to>
    <xdr:sp macro="" textlink="">
      <xdr:nvSpPr>
        <xdr:cNvPr id="40" name="Rectangle 39"/>
        <xdr:cNvSpPr/>
      </xdr:nvSpPr>
      <xdr:spPr>
        <a:xfrm>
          <a:off x="15978187" y="821972"/>
          <a:ext cx="5921375" cy="376591"/>
        </a:xfrm>
        <a:prstGeom prst="rect">
          <a:avLst/>
        </a:prstGeom>
      </xdr:spPr>
      <xdr:style>
        <a:lnRef idx="1">
          <a:schemeClr val="accent1"/>
        </a:lnRef>
        <a:fillRef idx="2">
          <a:schemeClr val="accent1"/>
        </a:fillRef>
        <a:effectRef idx="1">
          <a:schemeClr val="accent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ctr"/>
          <a:r>
            <a:rPr lang="en-IN" sz="1600" b="1" cap="none" spc="0">
              <a:ln w="0"/>
              <a:solidFill>
                <a:schemeClr val="tx1"/>
              </a:solidFill>
              <a:effectLst>
                <a:outerShdw blurRad="38100" dist="19050" dir="2700000" algn="tl" rotWithShape="0">
                  <a:schemeClr val="dk1">
                    <a:alpha val="40000"/>
                  </a:schemeClr>
                </a:outerShdw>
              </a:effectLst>
              <a:latin typeface="+mn-lt"/>
            </a:rPr>
            <a:t>PROFILE</a:t>
          </a:r>
          <a:endParaRPr lang="en-IN" sz="1200" b="1" cap="none" spc="0">
            <a:ln w="13462">
              <a:solidFill>
                <a:schemeClr val="bg1"/>
              </a:solidFill>
              <a:prstDash val="solid"/>
            </a:ln>
            <a:solidFill>
              <a:srgbClr val="FF0000"/>
            </a:solidFill>
            <a:effectLst>
              <a:outerShdw dist="38100" dir="2700000" algn="bl" rotWithShape="0">
                <a:schemeClr val="accent5"/>
              </a:outerShdw>
            </a:effectLst>
            <a:latin typeface="Arial Black" panose="020B0A04020102020204" pitchFamily="34" charset="0"/>
          </a:endParaRPr>
        </a:p>
      </xdr:txBody>
    </xdr:sp>
    <xdr:clientData/>
  </xdr:twoCellAnchor>
  <xdr:twoCellAnchor>
    <xdr:from>
      <xdr:col>22</xdr:col>
      <xdr:colOff>43217</xdr:colOff>
      <xdr:row>6</xdr:row>
      <xdr:rowOff>133173</xdr:rowOff>
    </xdr:from>
    <xdr:to>
      <xdr:col>23</xdr:col>
      <xdr:colOff>261940</xdr:colOff>
      <xdr:row>7</xdr:row>
      <xdr:rowOff>279576</xdr:rowOff>
    </xdr:to>
    <xdr:sp macro="" textlink="">
      <xdr:nvSpPr>
        <xdr:cNvPr id="42" name="Rectangle 41"/>
        <xdr:cNvSpPr/>
      </xdr:nvSpPr>
      <xdr:spPr>
        <a:xfrm>
          <a:off x="17164405" y="1426986"/>
          <a:ext cx="829910" cy="336903"/>
        </a:xfrm>
        <a:prstGeom prst="rect">
          <a:avLst/>
        </a:prstGeom>
      </xdr:spPr>
      <xdr:style>
        <a:lnRef idx="0">
          <a:schemeClr val="accent4"/>
        </a:lnRef>
        <a:fillRef idx="3">
          <a:schemeClr val="accent4"/>
        </a:fillRef>
        <a:effectRef idx="3">
          <a:schemeClr val="accent4"/>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ctr"/>
          <a:r>
            <a:rPr lang="en-IN" sz="1600" b="1" cap="none" spc="0" baseline="0">
              <a:ln w="0"/>
              <a:solidFill>
                <a:schemeClr val="tx1"/>
              </a:solidFill>
              <a:effectLst>
                <a:outerShdw blurRad="38100" dist="19050" dir="2700000" algn="tl" rotWithShape="0">
                  <a:schemeClr val="dk1">
                    <a:alpha val="40000"/>
                  </a:schemeClr>
                </a:outerShdw>
              </a:effectLst>
              <a:latin typeface="+mn-lt"/>
            </a:rPr>
            <a:t>Sex</a:t>
          </a:r>
          <a:endParaRPr lang="en-IN" sz="1200" b="1" cap="none" spc="0">
            <a:ln w="13462">
              <a:solidFill>
                <a:schemeClr val="bg1"/>
              </a:solidFill>
              <a:prstDash val="solid"/>
            </a:ln>
            <a:solidFill>
              <a:srgbClr val="C00000"/>
            </a:solidFill>
            <a:effectLst>
              <a:outerShdw dist="38100" dir="2700000" algn="bl" rotWithShape="0">
                <a:schemeClr val="accent5"/>
              </a:outerShdw>
            </a:effectLst>
            <a:latin typeface="+mn-lt"/>
          </a:endParaRPr>
        </a:p>
      </xdr:txBody>
    </xdr:sp>
    <xdr:clientData/>
  </xdr:twoCellAnchor>
  <xdr:twoCellAnchor>
    <xdr:from>
      <xdr:col>22</xdr:col>
      <xdr:colOff>15875</xdr:colOff>
      <xdr:row>8</xdr:row>
      <xdr:rowOff>215194</xdr:rowOff>
    </xdr:from>
    <xdr:to>
      <xdr:col>23</xdr:col>
      <xdr:colOff>234598</xdr:colOff>
      <xdr:row>10</xdr:row>
      <xdr:rowOff>10583</xdr:rowOff>
    </xdr:to>
    <xdr:sp macro="" textlink="">
      <xdr:nvSpPr>
        <xdr:cNvPr id="43" name="Rectangle 42"/>
        <xdr:cNvSpPr/>
      </xdr:nvSpPr>
      <xdr:spPr>
        <a:xfrm>
          <a:off x="17137063" y="2001132"/>
          <a:ext cx="829910" cy="335139"/>
        </a:xfrm>
        <a:prstGeom prst="rect">
          <a:avLst/>
        </a:prstGeom>
      </xdr:spPr>
      <xdr:style>
        <a:lnRef idx="0">
          <a:schemeClr val="accent4"/>
        </a:lnRef>
        <a:fillRef idx="3">
          <a:schemeClr val="accent4"/>
        </a:fillRef>
        <a:effectRef idx="3">
          <a:schemeClr val="accent4"/>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IN" sz="1600" b="1" cap="none" spc="0">
              <a:ln w="0"/>
              <a:solidFill>
                <a:schemeClr val="tx1"/>
              </a:solidFill>
              <a:effectLst>
                <a:outerShdw blurRad="38100" dist="19050" dir="2700000" algn="tl" rotWithShape="0">
                  <a:schemeClr val="dk1">
                    <a:alpha val="40000"/>
                  </a:schemeClr>
                </a:outerShdw>
              </a:effectLst>
              <a:latin typeface="+mn-lt"/>
            </a:rPr>
            <a:t>Degree</a:t>
          </a:r>
          <a:endParaRPr lang="en-IN" sz="1200" b="1" cap="none" spc="0">
            <a:ln w="0"/>
            <a:solidFill>
              <a:schemeClr val="tx1"/>
            </a:solidFill>
            <a:effectLst>
              <a:outerShdw blurRad="38100" dist="19050" dir="2700000" algn="tl" rotWithShape="0">
                <a:schemeClr val="dk1">
                  <a:alpha val="40000"/>
                </a:schemeClr>
              </a:outerShdw>
            </a:effectLst>
            <a:latin typeface="+mn-lt"/>
          </a:endParaRPr>
        </a:p>
      </xdr:txBody>
    </xdr:sp>
    <xdr:clientData/>
  </xdr:twoCellAnchor>
  <xdr:twoCellAnchor>
    <xdr:from>
      <xdr:col>22</xdr:col>
      <xdr:colOff>70555</xdr:colOff>
      <xdr:row>11</xdr:row>
      <xdr:rowOff>49389</xdr:rowOff>
    </xdr:from>
    <xdr:to>
      <xdr:col>23</xdr:col>
      <xdr:colOff>289278</xdr:colOff>
      <xdr:row>12</xdr:row>
      <xdr:rowOff>112889</xdr:rowOff>
    </xdr:to>
    <xdr:sp macro="" textlink="">
      <xdr:nvSpPr>
        <xdr:cNvPr id="45" name="Rectangle 44"/>
        <xdr:cNvSpPr/>
      </xdr:nvSpPr>
      <xdr:spPr>
        <a:xfrm>
          <a:off x="16220722" y="2532945"/>
          <a:ext cx="825500" cy="331611"/>
        </a:xfrm>
        <a:prstGeom prst="rect">
          <a:avLst/>
        </a:prstGeom>
      </xdr:spPr>
      <xdr:style>
        <a:lnRef idx="0">
          <a:schemeClr val="accent4"/>
        </a:lnRef>
        <a:fillRef idx="3">
          <a:schemeClr val="accent4"/>
        </a:fillRef>
        <a:effectRef idx="3">
          <a:schemeClr val="accent4"/>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IN" sz="1400" b="1" cap="none" spc="0">
              <a:ln w="0"/>
              <a:solidFill>
                <a:schemeClr val="tx1"/>
              </a:solidFill>
              <a:effectLst>
                <a:outerShdw blurRad="38100" dist="19050" dir="2700000" algn="tl" rotWithShape="0">
                  <a:schemeClr val="dk1">
                    <a:alpha val="40000"/>
                  </a:schemeClr>
                </a:outerShdw>
              </a:effectLst>
              <a:latin typeface="+mn-lt"/>
            </a:rPr>
            <a:t>College</a:t>
          </a:r>
          <a:endParaRPr lang="en-IN" sz="1200" b="1" cap="none" spc="0">
            <a:ln w="0"/>
            <a:solidFill>
              <a:schemeClr val="tx1"/>
            </a:solidFill>
            <a:effectLst>
              <a:outerShdw blurRad="38100" dist="19050" dir="2700000" algn="tl" rotWithShape="0">
                <a:schemeClr val="dk1">
                  <a:alpha val="40000"/>
                </a:schemeClr>
              </a:outerShdw>
            </a:effectLst>
            <a:latin typeface="+mn-lt"/>
          </a:endParaRPr>
        </a:p>
      </xdr:txBody>
    </xdr:sp>
    <xdr:clientData/>
  </xdr:twoCellAnchor>
  <xdr:twoCellAnchor>
    <xdr:from>
      <xdr:col>21</xdr:col>
      <xdr:colOff>600602</xdr:colOff>
      <xdr:row>13</xdr:row>
      <xdr:rowOff>146402</xdr:rowOff>
    </xdr:from>
    <xdr:to>
      <xdr:col>23</xdr:col>
      <xdr:colOff>349249</xdr:colOff>
      <xdr:row>15</xdr:row>
      <xdr:rowOff>8817</xdr:rowOff>
    </xdr:to>
    <xdr:sp macro="" textlink="">
      <xdr:nvSpPr>
        <xdr:cNvPr id="51" name="Rectangle 50"/>
        <xdr:cNvSpPr/>
      </xdr:nvSpPr>
      <xdr:spPr>
        <a:xfrm>
          <a:off x="17110602" y="3122965"/>
          <a:ext cx="971022" cy="370415"/>
        </a:xfrm>
        <a:prstGeom prst="rect">
          <a:avLst/>
        </a:prstGeom>
      </xdr:spPr>
      <xdr:style>
        <a:lnRef idx="0">
          <a:schemeClr val="accent4"/>
        </a:lnRef>
        <a:fillRef idx="3">
          <a:schemeClr val="accent4"/>
        </a:fillRef>
        <a:effectRef idx="3">
          <a:schemeClr val="accent4"/>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IN" sz="1200" b="1" cap="none" spc="0">
              <a:ln w="0"/>
              <a:solidFill>
                <a:schemeClr val="tx1"/>
              </a:solidFill>
              <a:effectLst>
                <a:outerShdw blurRad="38100" dist="19050" dir="2700000" algn="tl" rotWithShape="0">
                  <a:schemeClr val="dk1">
                    <a:alpha val="40000"/>
                  </a:schemeClr>
                </a:outerShdw>
              </a:effectLst>
              <a:latin typeface="+mn-lt"/>
            </a:rPr>
            <a:t>Passed</a:t>
          </a:r>
          <a:r>
            <a:rPr lang="en-IN" sz="1200" b="1" cap="none" spc="0" baseline="0">
              <a:ln w="0"/>
              <a:solidFill>
                <a:schemeClr val="tx1"/>
              </a:solidFill>
              <a:effectLst>
                <a:outerShdw blurRad="38100" dist="19050" dir="2700000" algn="tl" rotWithShape="0">
                  <a:schemeClr val="dk1">
                    <a:alpha val="40000"/>
                  </a:schemeClr>
                </a:outerShdw>
              </a:effectLst>
              <a:latin typeface="+mn-lt"/>
            </a:rPr>
            <a:t> Out</a:t>
          </a:r>
          <a:endParaRPr lang="en-IN" sz="1200" b="1" cap="none" spc="0">
            <a:ln w="0"/>
            <a:solidFill>
              <a:schemeClr val="tx1"/>
            </a:solidFill>
            <a:effectLst>
              <a:outerShdw blurRad="38100" dist="19050" dir="2700000" algn="tl" rotWithShape="0">
                <a:schemeClr val="dk1">
                  <a:alpha val="40000"/>
                </a:schemeClr>
              </a:outerShdw>
            </a:effectLst>
            <a:latin typeface="+mn-lt"/>
          </a:endParaRPr>
        </a:p>
      </xdr:txBody>
    </xdr:sp>
    <xdr:clientData/>
  </xdr:twoCellAnchor>
  <xdr:twoCellAnchor>
    <xdr:from>
      <xdr:col>21</xdr:col>
      <xdr:colOff>589138</xdr:colOff>
      <xdr:row>16</xdr:row>
      <xdr:rowOff>14112</xdr:rowOff>
    </xdr:from>
    <xdr:to>
      <xdr:col>23</xdr:col>
      <xdr:colOff>337785</xdr:colOff>
      <xdr:row>17</xdr:row>
      <xdr:rowOff>164923</xdr:rowOff>
    </xdr:to>
    <xdr:sp macro="" textlink="">
      <xdr:nvSpPr>
        <xdr:cNvPr id="55" name="Rectangle 54"/>
        <xdr:cNvSpPr/>
      </xdr:nvSpPr>
      <xdr:spPr>
        <a:xfrm>
          <a:off x="17099138" y="3720925"/>
          <a:ext cx="971022" cy="333373"/>
        </a:xfrm>
        <a:prstGeom prst="rect">
          <a:avLst/>
        </a:prstGeom>
      </xdr:spPr>
      <xdr:style>
        <a:lnRef idx="0">
          <a:schemeClr val="accent4"/>
        </a:lnRef>
        <a:fillRef idx="3">
          <a:schemeClr val="accent4"/>
        </a:fillRef>
        <a:effectRef idx="3">
          <a:schemeClr val="accent4"/>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IN" sz="1400" b="1" cap="none" spc="0">
              <a:ln w="0"/>
              <a:solidFill>
                <a:schemeClr val="tx1"/>
              </a:solidFill>
              <a:effectLst>
                <a:outerShdw blurRad="38100" dist="19050" dir="2700000" algn="tl" rotWithShape="0">
                  <a:schemeClr val="dk1">
                    <a:alpha val="40000"/>
                  </a:schemeClr>
                </a:outerShdw>
              </a:effectLst>
              <a:latin typeface="+mn-lt"/>
            </a:rPr>
            <a:t>Domain</a:t>
          </a:r>
        </a:p>
      </xdr:txBody>
    </xdr:sp>
    <xdr:clientData/>
  </xdr:twoCellAnchor>
  <xdr:twoCellAnchor>
    <xdr:from>
      <xdr:col>25</xdr:col>
      <xdr:colOff>477129</xdr:colOff>
      <xdr:row>5</xdr:row>
      <xdr:rowOff>311504</xdr:rowOff>
    </xdr:from>
    <xdr:to>
      <xdr:col>25</xdr:col>
      <xdr:colOff>522848</xdr:colOff>
      <xdr:row>28</xdr:row>
      <xdr:rowOff>71438</xdr:rowOff>
    </xdr:to>
    <xdr:sp macro="" textlink="">
      <xdr:nvSpPr>
        <xdr:cNvPr id="59" name="Diagonal Stripe 58"/>
        <xdr:cNvSpPr/>
      </xdr:nvSpPr>
      <xdr:spPr>
        <a:xfrm flipH="1">
          <a:off x="22956129" y="1232254"/>
          <a:ext cx="45719" cy="4982809"/>
        </a:xfrm>
        <a:prstGeom prst="diagStripe">
          <a:avLst/>
        </a:prstGeom>
      </xdr:spPr>
      <xdr:style>
        <a:lnRef idx="1">
          <a:schemeClr val="accent1"/>
        </a:lnRef>
        <a:fillRef idx="2">
          <a:schemeClr val="accent1"/>
        </a:fillRef>
        <a:effectRef idx="1">
          <a:schemeClr val="accent1"/>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l"/>
          <a:endParaRPr lang="en-IN" sz="2000" b="1" cap="none" spc="0">
            <a:ln w="13462">
              <a:solidFill>
                <a:schemeClr val="bg1"/>
              </a:solidFill>
              <a:prstDash val="solid"/>
            </a:ln>
            <a:solidFill>
              <a:srgbClr val="C00000"/>
            </a:solidFill>
            <a:effectLst>
              <a:outerShdw dist="38100" dir="2700000" algn="bl" rotWithShape="0">
                <a:schemeClr val="accent5"/>
              </a:outerShdw>
            </a:effectLst>
            <a:latin typeface="Arial Black" panose="020B0A04020102020204" pitchFamily="34" charset="0"/>
          </a:endParaRPr>
        </a:p>
      </xdr:txBody>
    </xdr:sp>
    <xdr:clientData/>
  </xdr:twoCellAnchor>
  <xdr:twoCellAnchor>
    <xdr:from>
      <xdr:col>26</xdr:col>
      <xdr:colOff>96838</xdr:colOff>
      <xdr:row>9</xdr:row>
      <xdr:rowOff>220662</xdr:rowOff>
    </xdr:from>
    <xdr:to>
      <xdr:col>27</xdr:col>
      <xdr:colOff>456673</xdr:colOff>
      <xdr:row>11</xdr:row>
      <xdr:rowOff>46566</xdr:rowOff>
    </xdr:to>
    <xdr:sp macro="" textlink="">
      <xdr:nvSpPr>
        <xdr:cNvPr id="61" name="Rectangle 60"/>
        <xdr:cNvSpPr/>
      </xdr:nvSpPr>
      <xdr:spPr>
        <a:xfrm>
          <a:off x="22655213" y="2292350"/>
          <a:ext cx="971023" cy="365654"/>
        </a:xfrm>
        <a:prstGeom prst="rect">
          <a:avLst/>
        </a:prstGeom>
      </xdr:spPr>
      <xdr:style>
        <a:lnRef idx="0">
          <a:schemeClr val="accent4"/>
        </a:lnRef>
        <a:fillRef idx="3">
          <a:schemeClr val="accent4"/>
        </a:fillRef>
        <a:effectRef idx="3">
          <a:schemeClr val="accent4"/>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IN" sz="1400" b="1" cap="none" spc="0">
              <a:ln w="0"/>
              <a:solidFill>
                <a:schemeClr val="tx1"/>
              </a:solidFill>
              <a:effectLst>
                <a:outerShdw blurRad="38100" dist="19050" dir="2700000" algn="tl" rotWithShape="0">
                  <a:schemeClr val="dk1">
                    <a:alpha val="40000"/>
                  </a:schemeClr>
                </a:outerShdw>
              </a:effectLst>
              <a:latin typeface="+mn-lt"/>
            </a:rPr>
            <a:t>Profession</a:t>
          </a:r>
          <a:endParaRPr lang="en-IN" sz="1200" b="1" cap="none" spc="0">
            <a:ln w="0"/>
            <a:solidFill>
              <a:schemeClr val="tx1"/>
            </a:solidFill>
            <a:effectLst>
              <a:outerShdw blurRad="38100" dist="19050" dir="2700000" algn="tl" rotWithShape="0">
                <a:schemeClr val="dk1">
                  <a:alpha val="40000"/>
                </a:schemeClr>
              </a:outerShdw>
            </a:effectLst>
            <a:latin typeface="+mn-lt"/>
          </a:endParaRPr>
        </a:p>
      </xdr:txBody>
    </xdr:sp>
    <xdr:clientData/>
  </xdr:twoCellAnchor>
  <xdr:twoCellAnchor>
    <xdr:from>
      <xdr:col>24</xdr:col>
      <xdr:colOff>2619198</xdr:colOff>
      <xdr:row>0</xdr:row>
      <xdr:rowOff>109889</xdr:rowOff>
    </xdr:from>
    <xdr:to>
      <xdr:col>26</xdr:col>
      <xdr:colOff>550332</xdr:colOff>
      <xdr:row>3</xdr:row>
      <xdr:rowOff>21167</xdr:rowOff>
    </xdr:to>
    <xdr:sp macro="[0]!LogoutButton_Click" textlink="">
      <xdr:nvSpPr>
        <xdr:cNvPr id="62" name="Rounded Rectangle 61"/>
        <xdr:cNvSpPr/>
      </xdr:nvSpPr>
      <xdr:spPr>
        <a:xfrm>
          <a:off x="22431198" y="109889"/>
          <a:ext cx="1222551" cy="451028"/>
        </a:xfrm>
        <a:prstGeom prst="roundRect">
          <a:avLst/>
        </a:prstGeom>
        <a:effectLst>
          <a:outerShdw blurRad="50800" dist="38100" dir="18900000" algn="b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scene3d>
            <a:camera prst="orthographicFront"/>
            <a:lightRig rig="soft" dir="t">
              <a:rot lat="0" lon="0" rev="15600000"/>
            </a:lightRig>
          </a:scene3d>
          <a:sp3d extrusionH="57150" prstMaterial="softEdge">
            <a:bevelT w="25400" h="38100"/>
          </a:sp3d>
        </a:bodyPr>
        <a:lstStyle/>
        <a:p>
          <a:pPr algn="ctr"/>
          <a:r>
            <a:rPr lang="en-IN" sz="1400" b="1" cap="none" spc="0">
              <a:ln w="0">
                <a:solidFill>
                  <a:schemeClr val="tx1">
                    <a:lumMod val="50000"/>
                    <a:lumOff val="50000"/>
                  </a:schemeClr>
                </a:solidFill>
              </a:ln>
              <a:solidFill>
                <a:srgbClr val="C00000"/>
              </a:solidFill>
              <a:effectLst>
                <a:outerShdw blurRad="38100" dist="19050" dir="2700000" algn="tl" rotWithShape="0">
                  <a:schemeClr val="dk1">
                    <a:alpha val="40000"/>
                  </a:schemeClr>
                </a:outerShdw>
              </a:effectLst>
              <a:latin typeface="Arial Black" panose="020B0A04020102020204" pitchFamily="34" charset="0"/>
            </a:rPr>
            <a:t>Logout</a:t>
          </a:r>
          <a:endParaRPr lang="en-IN" sz="2000" b="1" cap="none" spc="0">
            <a:ln w="0">
              <a:solidFill>
                <a:schemeClr val="tx1">
                  <a:lumMod val="50000"/>
                  <a:lumOff val="50000"/>
                </a:schemeClr>
              </a:solidFill>
            </a:ln>
            <a:solidFill>
              <a:srgbClr val="C00000"/>
            </a:solidFill>
            <a:effectLst>
              <a:outerShdw dist="38100" dir="2700000" algn="bl" rotWithShape="0">
                <a:schemeClr val="accent5"/>
              </a:outerShdw>
            </a:effectLst>
            <a:latin typeface="Arial Black" panose="020B0A04020102020204" pitchFamily="34" charset="0"/>
          </a:endParaRPr>
        </a:p>
      </xdr:txBody>
    </xdr:sp>
    <xdr:clientData/>
  </xdr:twoCellAnchor>
  <xdr:twoCellAnchor>
    <xdr:from>
      <xdr:col>26</xdr:col>
      <xdr:colOff>79374</xdr:colOff>
      <xdr:row>12</xdr:row>
      <xdr:rowOff>123825</xdr:rowOff>
    </xdr:from>
    <xdr:to>
      <xdr:col>27</xdr:col>
      <xdr:colOff>460374</xdr:colOff>
      <xdr:row>14</xdr:row>
      <xdr:rowOff>182562</xdr:rowOff>
    </xdr:to>
    <xdr:sp macro="" textlink="">
      <xdr:nvSpPr>
        <xdr:cNvPr id="65" name="Rectangle 64"/>
        <xdr:cNvSpPr/>
      </xdr:nvSpPr>
      <xdr:spPr>
        <a:xfrm>
          <a:off x="23169562" y="3005138"/>
          <a:ext cx="992187" cy="519112"/>
        </a:xfrm>
        <a:prstGeom prst="rect">
          <a:avLst/>
        </a:prstGeom>
      </xdr:spPr>
      <xdr:style>
        <a:lnRef idx="0">
          <a:schemeClr val="accent4"/>
        </a:lnRef>
        <a:fillRef idx="3">
          <a:schemeClr val="accent4"/>
        </a:fillRef>
        <a:effectRef idx="3">
          <a:schemeClr val="accent4"/>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IN" sz="1400" b="1" cap="none" spc="0">
              <a:ln w="0"/>
              <a:solidFill>
                <a:schemeClr val="tx1"/>
              </a:solidFill>
              <a:effectLst>
                <a:outerShdw blurRad="38100" dist="19050" dir="2700000" algn="tl" rotWithShape="0">
                  <a:schemeClr val="dk1">
                    <a:alpha val="40000"/>
                  </a:schemeClr>
                </a:outerShdw>
              </a:effectLst>
              <a:latin typeface="+mn-lt"/>
            </a:rPr>
            <a:t>Company</a:t>
          </a:r>
          <a:endParaRPr lang="en-IN" sz="1200" b="1" cap="none" spc="0">
            <a:ln w="0"/>
            <a:solidFill>
              <a:schemeClr val="tx1"/>
            </a:solidFill>
            <a:effectLst>
              <a:outerShdw blurRad="38100" dist="19050" dir="2700000" algn="tl" rotWithShape="0">
                <a:schemeClr val="dk1">
                  <a:alpha val="40000"/>
                </a:schemeClr>
              </a:outerShdw>
            </a:effectLst>
            <a:latin typeface="+mn-lt"/>
          </a:endParaRPr>
        </a:p>
      </xdr:txBody>
    </xdr:sp>
    <xdr:clientData/>
  </xdr:twoCellAnchor>
  <xdr:twoCellAnchor>
    <xdr:from>
      <xdr:col>3</xdr:col>
      <xdr:colOff>333374</xdr:colOff>
      <xdr:row>5</xdr:row>
      <xdr:rowOff>198437</xdr:rowOff>
    </xdr:from>
    <xdr:to>
      <xdr:col>5</xdr:col>
      <xdr:colOff>288924</xdr:colOff>
      <xdr:row>7</xdr:row>
      <xdr:rowOff>4762</xdr:rowOff>
    </xdr:to>
    <xdr:sp macro="" textlink="">
      <xdr:nvSpPr>
        <xdr:cNvPr id="66" name="Rectangle 65"/>
        <xdr:cNvSpPr/>
      </xdr:nvSpPr>
      <xdr:spPr>
        <a:xfrm>
          <a:off x="2786062" y="1111250"/>
          <a:ext cx="1503362" cy="457200"/>
        </a:xfrm>
        <a:prstGeom prst="rect">
          <a:avLst/>
        </a:prstGeom>
      </xdr:spPr>
      <xdr:style>
        <a:lnRef idx="1">
          <a:schemeClr val="accent6"/>
        </a:lnRef>
        <a:fillRef idx="2">
          <a:schemeClr val="accent6"/>
        </a:fillRef>
        <a:effectRef idx="1">
          <a:schemeClr val="accent6"/>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ctr"/>
          <a:r>
            <a:rPr lang="en-IN" sz="1600" b="1" cap="none" spc="0">
              <a:ln w="0"/>
              <a:solidFill>
                <a:schemeClr val="tx1"/>
              </a:solidFill>
              <a:effectLst>
                <a:outerShdw blurRad="38100" dist="19050" dir="2700000" algn="tl" rotWithShape="0">
                  <a:schemeClr val="dk1">
                    <a:alpha val="40000"/>
                  </a:schemeClr>
                </a:outerShdw>
              </a:effectLst>
              <a:latin typeface="+mn-lt"/>
            </a:rPr>
            <a:t>Percentage</a:t>
          </a:r>
          <a:endParaRPr lang="en-IN" sz="1200" b="1" cap="none" spc="0">
            <a:ln w="13462">
              <a:solidFill>
                <a:schemeClr val="bg1"/>
              </a:solidFill>
              <a:prstDash val="solid"/>
            </a:ln>
            <a:solidFill>
              <a:srgbClr val="C00000"/>
            </a:solidFill>
            <a:effectLst>
              <a:outerShdw dist="38100" dir="2700000" algn="bl" rotWithShape="0">
                <a:schemeClr val="accent5"/>
              </a:outerShdw>
            </a:effectLst>
            <a:latin typeface="+mn-lt"/>
          </a:endParaRPr>
        </a:p>
      </xdr:txBody>
    </xdr:sp>
    <xdr:clientData/>
  </xdr:twoCellAnchor>
  <xdr:twoCellAnchor>
    <xdr:from>
      <xdr:col>3</xdr:col>
      <xdr:colOff>333375</xdr:colOff>
      <xdr:row>9</xdr:row>
      <xdr:rowOff>174625</xdr:rowOff>
    </xdr:from>
    <xdr:to>
      <xdr:col>5</xdr:col>
      <xdr:colOff>293688</xdr:colOff>
      <xdr:row>11</xdr:row>
      <xdr:rowOff>79375</xdr:rowOff>
    </xdr:to>
    <xdr:sp macro="" textlink="">
      <xdr:nvSpPr>
        <xdr:cNvPr id="67" name="Rectangle 66"/>
        <xdr:cNvSpPr/>
      </xdr:nvSpPr>
      <xdr:spPr>
        <a:xfrm>
          <a:off x="2786063" y="2309813"/>
          <a:ext cx="1508125" cy="357187"/>
        </a:xfrm>
        <a:prstGeom prst="rect">
          <a:avLst/>
        </a:prstGeom>
      </xdr:spPr>
      <xdr:style>
        <a:lnRef idx="3">
          <a:schemeClr val="lt1"/>
        </a:lnRef>
        <a:fillRef idx="1">
          <a:schemeClr val="accent2"/>
        </a:fillRef>
        <a:effectRef idx="1">
          <a:schemeClr val="accent2"/>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IN" sz="1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Fees</a:t>
          </a:r>
          <a:r>
            <a:rPr lang="en-IN" sz="1400" b="0" cap="none" spc="0" baseline="0">
              <a:ln w="0"/>
              <a:solidFill>
                <a:schemeClr val="bg1"/>
              </a:solidFill>
              <a:effectLst>
                <a:outerShdw blurRad="38100" dist="19050" dir="2700000" algn="tl" rotWithShape="0">
                  <a:schemeClr val="dk1">
                    <a:alpha val="40000"/>
                  </a:schemeClr>
                </a:outerShdw>
              </a:effectLst>
              <a:latin typeface="Arial Black" panose="020B0A04020102020204" pitchFamily="34" charset="0"/>
            </a:rPr>
            <a:t> Paid</a:t>
          </a:r>
          <a:endParaRPr lang="en-IN" sz="9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endParaRPr>
        </a:p>
      </xdr:txBody>
    </xdr:sp>
    <xdr:clientData/>
  </xdr:twoCellAnchor>
  <xdr:twoCellAnchor>
    <xdr:from>
      <xdr:col>3</xdr:col>
      <xdr:colOff>293687</xdr:colOff>
      <xdr:row>14</xdr:row>
      <xdr:rowOff>127000</xdr:rowOff>
    </xdr:from>
    <xdr:to>
      <xdr:col>5</xdr:col>
      <xdr:colOff>381000</xdr:colOff>
      <xdr:row>16</xdr:row>
      <xdr:rowOff>23813</xdr:rowOff>
    </xdr:to>
    <xdr:sp macro="" textlink="">
      <xdr:nvSpPr>
        <xdr:cNvPr id="68" name="Rectangle 67"/>
        <xdr:cNvSpPr/>
      </xdr:nvSpPr>
      <xdr:spPr>
        <a:xfrm>
          <a:off x="2746375" y="3436938"/>
          <a:ext cx="1635125" cy="349250"/>
        </a:xfrm>
        <a:prstGeom prst="rect">
          <a:avLst/>
        </a:prstGeom>
      </xdr:spPr>
      <xdr:style>
        <a:lnRef idx="3">
          <a:schemeClr val="lt1"/>
        </a:lnRef>
        <a:fillRef idx="1">
          <a:schemeClr val="accent2"/>
        </a:fillRef>
        <a:effectRef idx="1">
          <a:schemeClr val="accent2"/>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IN" sz="1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Balance</a:t>
          </a:r>
          <a:r>
            <a:rPr lang="en-IN" sz="1400" b="0" cap="none" spc="0" baseline="0">
              <a:ln w="0"/>
              <a:solidFill>
                <a:schemeClr val="bg1"/>
              </a:solidFill>
              <a:effectLst>
                <a:outerShdw blurRad="38100" dist="19050" dir="2700000" algn="tl" rotWithShape="0">
                  <a:schemeClr val="dk1">
                    <a:alpha val="40000"/>
                  </a:schemeClr>
                </a:outerShdw>
              </a:effectLst>
              <a:latin typeface="Arial Black" panose="020B0A04020102020204" pitchFamily="34" charset="0"/>
            </a:rPr>
            <a:t> Fees</a:t>
          </a:r>
          <a:endParaRPr lang="en-IN" sz="10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endParaRPr>
        </a:p>
      </xdr:txBody>
    </xdr:sp>
    <xdr:clientData/>
  </xdr:twoCellAnchor>
  <xdr:twoCellAnchor>
    <xdr:from>
      <xdr:col>13</xdr:col>
      <xdr:colOff>515937</xdr:colOff>
      <xdr:row>13</xdr:row>
      <xdr:rowOff>95250</xdr:rowOff>
    </xdr:from>
    <xdr:to>
      <xdr:col>16</xdr:col>
      <xdr:colOff>44450</xdr:colOff>
      <xdr:row>14</xdr:row>
      <xdr:rowOff>182562</xdr:rowOff>
    </xdr:to>
    <xdr:sp macro="" textlink="">
      <xdr:nvSpPr>
        <xdr:cNvPr id="69" name="Rectangle 68"/>
        <xdr:cNvSpPr/>
      </xdr:nvSpPr>
      <xdr:spPr>
        <a:xfrm>
          <a:off x="10239375" y="3087688"/>
          <a:ext cx="2687638" cy="357187"/>
        </a:xfrm>
        <a:prstGeom prst="rect">
          <a:avLst/>
        </a:prstGeom>
        <a:solidFill>
          <a:schemeClr val="bg2"/>
        </a:solidFill>
      </xdr:spPr>
      <xdr:style>
        <a:lnRef idx="3">
          <a:schemeClr val="lt1"/>
        </a:lnRef>
        <a:fillRef idx="1">
          <a:schemeClr val="accent3"/>
        </a:fillRef>
        <a:effectRef idx="1">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ctr"/>
          <a:r>
            <a:rPr lang="en-IN" sz="1600" b="1" cap="none" spc="0">
              <a:ln w="0"/>
              <a:solidFill>
                <a:schemeClr val="tx1"/>
              </a:solidFill>
              <a:effectLst>
                <a:outerShdw blurRad="38100" dist="19050" dir="2700000" algn="tl" rotWithShape="0">
                  <a:schemeClr val="dk1">
                    <a:alpha val="40000"/>
                  </a:schemeClr>
                </a:outerShdw>
              </a:effectLst>
              <a:latin typeface="+mn-lt"/>
            </a:rPr>
            <a:t>Intern</a:t>
          </a:r>
          <a:r>
            <a:rPr lang="en-IN" sz="1600" b="1" cap="none" spc="0" baseline="0">
              <a:ln w="0"/>
              <a:solidFill>
                <a:schemeClr val="tx1"/>
              </a:solidFill>
              <a:effectLst>
                <a:outerShdw blurRad="38100" dist="19050" dir="2700000" algn="tl" rotWithShape="0">
                  <a:schemeClr val="dk1">
                    <a:alpha val="40000"/>
                  </a:schemeClr>
                </a:outerShdw>
              </a:effectLst>
              <a:latin typeface="+mn-lt"/>
            </a:rPr>
            <a:t> Task</a:t>
          </a:r>
          <a:endParaRPr lang="en-IN" sz="1200" b="1" cap="none" spc="0">
            <a:ln w="13462">
              <a:solidFill>
                <a:schemeClr val="bg1"/>
              </a:solidFill>
              <a:prstDash val="solid"/>
            </a:ln>
            <a:solidFill>
              <a:srgbClr val="C00000"/>
            </a:solidFill>
            <a:effectLst>
              <a:outerShdw dist="38100" dir="2700000" algn="bl" rotWithShape="0">
                <a:schemeClr val="accent5"/>
              </a:outerShdw>
            </a:effectLst>
            <a:latin typeface="+mn-lt"/>
          </a:endParaRPr>
        </a:p>
      </xdr:txBody>
    </xdr:sp>
    <xdr:clientData/>
  </xdr:twoCellAnchor>
  <xdr:twoCellAnchor>
    <xdr:from>
      <xdr:col>13</xdr:col>
      <xdr:colOff>571499</xdr:colOff>
      <xdr:row>17</xdr:row>
      <xdr:rowOff>166687</xdr:rowOff>
    </xdr:from>
    <xdr:to>
      <xdr:col>16</xdr:col>
      <xdr:colOff>100012</xdr:colOff>
      <xdr:row>19</xdr:row>
      <xdr:rowOff>158749</xdr:rowOff>
    </xdr:to>
    <xdr:sp macro="" textlink="">
      <xdr:nvSpPr>
        <xdr:cNvPr id="70" name="Rectangle 69"/>
        <xdr:cNvSpPr/>
      </xdr:nvSpPr>
      <xdr:spPr>
        <a:xfrm>
          <a:off x="10294937" y="4119562"/>
          <a:ext cx="2687638" cy="357187"/>
        </a:xfrm>
        <a:prstGeom prst="rect">
          <a:avLst/>
        </a:prstGeom>
        <a:solidFill>
          <a:schemeClr val="bg2"/>
        </a:solidFill>
      </xdr:spPr>
      <xdr:style>
        <a:lnRef idx="3">
          <a:schemeClr val="lt1"/>
        </a:lnRef>
        <a:fillRef idx="1">
          <a:schemeClr val="accent3"/>
        </a:fillRef>
        <a:effectRef idx="1">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ctr"/>
          <a:r>
            <a:rPr lang="en-IN" sz="1600" b="1" cap="none" spc="0">
              <a:ln w="0"/>
              <a:solidFill>
                <a:schemeClr val="tx1"/>
              </a:solidFill>
              <a:effectLst>
                <a:outerShdw blurRad="38100" dist="19050" dir="2700000" algn="tl" rotWithShape="0">
                  <a:schemeClr val="dk1">
                    <a:alpha val="40000"/>
                  </a:schemeClr>
                </a:outerShdw>
              </a:effectLst>
              <a:latin typeface="+mn-lt"/>
            </a:rPr>
            <a:t>Intern</a:t>
          </a:r>
          <a:r>
            <a:rPr lang="en-IN" sz="1600" b="1" cap="none" spc="0" baseline="0">
              <a:ln w="0"/>
              <a:solidFill>
                <a:schemeClr val="tx1"/>
              </a:solidFill>
              <a:effectLst>
                <a:outerShdw blurRad="38100" dist="19050" dir="2700000" algn="tl" rotWithShape="0">
                  <a:schemeClr val="dk1">
                    <a:alpha val="40000"/>
                  </a:schemeClr>
                </a:outerShdw>
              </a:effectLst>
              <a:latin typeface="+mn-lt"/>
            </a:rPr>
            <a:t> Task Domain</a:t>
          </a:r>
          <a:endParaRPr lang="en-IN" sz="1200" b="1" cap="none" spc="0">
            <a:ln w="13462">
              <a:solidFill>
                <a:schemeClr val="bg1"/>
              </a:solidFill>
              <a:prstDash val="solid"/>
            </a:ln>
            <a:solidFill>
              <a:srgbClr val="C00000"/>
            </a:solidFill>
            <a:effectLst>
              <a:outerShdw dist="38100" dir="2700000" algn="bl" rotWithShape="0">
                <a:schemeClr val="accent5"/>
              </a:outerShdw>
            </a:effectLst>
            <a:latin typeface="+mn-lt"/>
          </a:endParaRPr>
        </a:p>
      </xdr:txBody>
    </xdr:sp>
    <xdr:clientData/>
  </xdr:twoCellAnchor>
  <xdr:twoCellAnchor>
    <xdr:from>
      <xdr:col>8</xdr:col>
      <xdr:colOff>103186</xdr:colOff>
      <xdr:row>16</xdr:row>
      <xdr:rowOff>15874</xdr:rowOff>
    </xdr:from>
    <xdr:to>
      <xdr:col>12</xdr:col>
      <xdr:colOff>309562</xdr:colOff>
      <xdr:row>18</xdr:row>
      <xdr:rowOff>23812</xdr:rowOff>
    </xdr:to>
    <xdr:sp macro="" textlink="">
      <xdr:nvSpPr>
        <xdr:cNvPr id="71" name="Rectangle 70"/>
        <xdr:cNvSpPr/>
      </xdr:nvSpPr>
      <xdr:spPr>
        <a:xfrm>
          <a:off x="7127874" y="3786187"/>
          <a:ext cx="2436813" cy="373063"/>
        </a:xfrm>
        <a:prstGeom prst="rect">
          <a:avLst/>
        </a:prstGeom>
        <a:solidFill>
          <a:schemeClr val="bg2"/>
        </a:solidFill>
      </xdr:spPr>
      <xdr:style>
        <a:lnRef idx="3">
          <a:schemeClr val="lt1"/>
        </a:lnRef>
        <a:fillRef idx="1">
          <a:schemeClr val="accent3"/>
        </a:fillRef>
        <a:effectRef idx="1">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ctr"/>
          <a:r>
            <a:rPr lang="en-IN" sz="1600" b="1" cap="none" spc="0">
              <a:ln w="0"/>
              <a:solidFill>
                <a:schemeClr val="tx1"/>
              </a:solidFill>
              <a:effectLst>
                <a:outerShdw blurRad="38100" dist="19050" dir="2700000" algn="tl" rotWithShape="0">
                  <a:schemeClr val="dk1">
                    <a:alpha val="40000"/>
                  </a:schemeClr>
                </a:outerShdw>
              </a:effectLst>
              <a:latin typeface="+mn-lt"/>
            </a:rPr>
            <a:t>Tools </a:t>
          </a:r>
          <a:r>
            <a:rPr lang="en-IN" sz="1600" b="1" cap="none" spc="0">
              <a:ln w="0"/>
              <a:solidFill>
                <a:schemeClr val="tx1"/>
              </a:solidFill>
              <a:effectLst>
                <a:outerShdw blurRad="38100" dist="19050" dir="2700000" algn="tl" rotWithShape="0">
                  <a:schemeClr val="dk1">
                    <a:alpha val="40000"/>
                  </a:schemeClr>
                </a:outerShdw>
              </a:effectLst>
              <a:latin typeface="+mn-lt"/>
              <a:ea typeface="+mn-ea"/>
              <a:cs typeface="+mn-cs"/>
            </a:rPr>
            <a:t>Installed</a:t>
          </a:r>
          <a:endParaRPr lang="en-IN" sz="1200" b="1" cap="none" spc="0">
            <a:ln w="13462">
              <a:solidFill>
                <a:schemeClr val="bg1"/>
              </a:solidFill>
              <a:prstDash val="solid"/>
            </a:ln>
            <a:solidFill>
              <a:srgbClr val="C00000"/>
            </a:solidFill>
            <a:effectLst>
              <a:outerShdw dist="38100" dir="2700000" algn="bl" rotWithShape="0">
                <a:schemeClr val="accent5"/>
              </a:outerShdw>
            </a:effectLst>
            <a:latin typeface="+mn-lt"/>
          </a:endParaRPr>
        </a:p>
      </xdr:txBody>
    </xdr:sp>
    <xdr:clientData/>
  </xdr:twoCellAnchor>
  <xdr:twoCellAnchor>
    <xdr:from>
      <xdr:col>13</xdr:col>
      <xdr:colOff>484188</xdr:colOff>
      <xdr:row>8</xdr:row>
      <xdr:rowOff>39687</xdr:rowOff>
    </xdr:from>
    <xdr:to>
      <xdr:col>16</xdr:col>
      <xdr:colOff>79375</xdr:colOff>
      <xdr:row>9</xdr:row>
      <xdr:rowOff>142875</xdr:rowOff>
    </xdr:to>
    <xdr:sp macro="" textlink="">
      <xdr:nvSpPr>
        <xdr:cNvPr id="72" name="Rectangle 71"/>
        <xdr:cNvSpPr/>
      </xdr:nvSpPr>
      <xdr:spPr>
        <a:xfrm>
          <a:off x="10366376" y="1841500"/>
          <a:ext cx="2754312" cy="373063"/>
        </a:xfrm>
        <a:prstGeom prst="rect">
          <a:avLst/>
        </a:prstGeom>
        <a:solidFill>
          <a:schemeClr val="bg2"/>
        </a:solidFill>
      </xdr:spPr>
      <xdr:style>
        <a:lnRef idx="3">
          <a:schemeClr val="lt1"/>
        </a:lnRef>
        <a:fillRef idx="1">
          <a:schemeClr val="accent3"/>
        </a:fillRef>
        <a:effectRef idx="1">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scene3d>
            <a:camera prst="orthographicFront"/>
            <a:lightRig rig="soft" dir="t">
              <a:rot lat="0" lon="0" rev="15600000"/>
            </a:lightRig>
          </a:scene3d>
          <a:sp3d extrusionH="57150" prstMaterial="softEdge">
            <a:bevelT w="25400" h="38100"/>
          </a:sp3d>
        </a:bodyPr>
        <a:lstStyle/>
        <a:p>
          <a:pPr algn="ctr"/>
          <a:r>
            <a:rPr lang="en-IN" sz="1600" b="1" cap="none" spc="0">
              <a:ln w="0"/>
              <a:solidFill>
                <a:schemeClr val="tx1"/>
              </a:solidFill>
              <a:effectLst>
                <a:outerShdw blurRad="38100" dist="19050" dir="2700000" algn="tl" rotWithShape="0">
                  <a:schemeClr val="dk1">
                    <a:alpha val="40000"/>
                  </a:schemeClr>
                </a:outerShdw>
              </a:effectLst>
              <a:latin typeface="+mn-lt"/>
            </a:rPr>
            <a:t>Targeted</a:t>
          </a:r>
          <a:r>
            <a:rPr lang="en-IN" sz="1600" b="1" cap="none" spc="0" baseline="0">
              <a:ln w="0"/>
              <a:solidFill>
                <a:schemeClr val="tx1"/>
              </a:solidFill>
              <a:effectLst>
                <a:outerShdw blurRad="38100" dist="19050" dir="2700000" algn="tl" rotWithShape="0">
                  <a:schemeClr val="dk1">
                    <a:alpha val="40000"/>
                  </a:schemeClr>
                </a:outerShdw>
              </a:effectLst>
              <a:latin typeface="+mn-lt"/>
            </a:rPr>
            <a:t> Company</a:t>
          </a:r>
          <a:endParaRPr lang="en-IN" sz="1200" b="1" cap="none" spc="0">
            <a:ln w="13462">
              <a:solidFill>
                <a:schemeClr val="bg1"/>
              </a:solidFill>
              <a:prstDash val="solid"/>
            </a:ln>
            <a:solidFill>
              <a:srgbClr val="C00000"/>
            </a:solidFill>
            <a:effectLst>
              <a:outerShdw dist="38100" dir="2700000" algn="bl" rotWithShape="0">
                <a:schemeClr val="accent5"/>
              </a:outerShdw>
            </a:effectLst>
            <a:latin typeface="+mn-lt"/>
          </a:endParaRPr>
        </a:p>
      </xdr:txBody>
    </xdr:sp>
    <xdr:clientData/>
  </xdr:twoCellAnchor>
  <xdr:twoCellAnchor>
    <xdr:from>
      <xdr:col>15</xdr:col>
      <xdr:colOff>1619250</xdr:colOff>
      <xdr:row>0</xdr:row>
      <xdr:rowOff>111125</xdr:rowOff>
    </xdr:from>
    <xdr:to>
      <xdr:col>18</xdr:col>
      <xdr:colOff>596581</xdr:colOff>
      <xdr:row>2</xdr:row>
      <xdr:rowOff>139346</xdr:rowOff>
    </xdr:to>
    <xdr:sp macro="[0]!GOTOSHEET_charts" textlink="">
      <xdr:nvSpPr>
        <xdr:cNvPr id="73" name="Rounded Rectangle 72"/>
        <xdr:cNvSpPr/>
      </xdr:nvSpPr>
      <xdr:spPr>
        <a:xfrm>
          <a:off x="13065125" y="111125"/>
          <a:ext cx="2557144" cy="393346"/>
        </a:xfrm>
        <a:prstGeom prst="roundRect">
          <a:avLst/>
        </a:prstGeom>
        <a:effectLst>
          <a:outerShdw blurRad="50800" dist="38100" dir="18900000" algn="b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scene3d>
            <a:camera prst="orthographicFront"/>
            <a:lightRig rig="soft" dir="t">
              <a:rot lat="0" lon="0" rev="15600000"/>
            </a:lightRig>
          </a:scene3d>
          <a:sp3d extrusionH="57150" prstMaterial="softEdge">
            <a:bevelT w="25400" h="38100"/>
          </a:sp3d>
        </a:bodyPr>
        <a:lstStyle/>
        <a:p>
          <a:pPr algn="ctr"/>
          <a:r>
            <a:rPr lang="en-IN" sz="1800" b="1" cap="none" spc="0">
              <a:ln w="0">
                <a:solidFill>
                  <a:schemeClr val="tx1">
                    <a:lumMod val="50000"/>
                    <a:lumOff val="50000"/>
                  </a:schemeClr>
                </a:solidFill>
              </a:ln>
              <a:solidFill>
                <a:srgbClr val="C00000"/>
              </a:solidFill>
              <a:effectLst>
                <a:outerShdw blurRad="38100" dist="19050" dir="2700000" algn="tl" rotWithShape="0">
                  <a:schemeClr val="dk1">
                    <a:alpha val="40000"/>
                  </a:schemeClr>
                </a:outerShdw>
              </a:effectLst>
              <a:latin typeface="Arial Black" panose="020B0A04020102020204" pitchFamily="34" charset="0"/>
            </a:rPr>
            <a:t>Charts</a:t>
          </a:r>
          <a:endParaRPr lang="en-IN" sz="2000" b="1" cap="none" spc="0">
            <a:ln w="0">
              <a:solidFill>
                <a:schemeClr val="tx1">
                  <a:lumMod val="50000"/>
                  <a:lumOff val="50000"/>
                </a:schemeClr>
              </a:solidFill>
            </a:ln>
            <a:solidFill>
              <a:srgbClr val="C00000"/>
            </a:solidFill>
            <a:effectLst>
              <a:outerShdw dist="38100" dir="2700000" algn="bl" rotWithShape="0">
                <a:schemeClr val="accent5"/>
              </a:outerShdw>
            </a:effectLst>
            <a:latin typeface="Arial Black" panose="020B0A04020102020204" pitchFamily="34" charset="0"/>
          </a:endParaRPr>
        </a:p>
      </xdr:txBody>
    </xdr:sp>
    <xdr:clientData/>
  </xdr:twoCellAnchor>
  <xdr:twoCellAnchor>
    <xdr:from>
      <xdr:col>21</xdr:col>
      <xdr:colOff>595313</xdr:colOff>
      <xdr:row>19</xdr:row>
      <xdr:rowOff>198438</xdr:rowOff>
    </xdr:from>
    <xdr:to>
      <xdr:col>23</xdr:col>
      <xdr:colOff>343960</xdr:colOff>
      <xdr:row>21</xdr:row>
      <xdr:rowOff>111654</xdr:rowOff>
    </xdr:to>
    <xdr:sp macro="" textlink="">
      <xdr:nvSpPr>
        <xdr:cNvPr id="50" name="Rectangle 49"/>
        <xdr:cNvSpPr/>
      </xdr:nvSpPr>
      <xdr:spPr>
        <a:xfrm>
          <a:off x="18557876" y="4595813"/>
          <a:ext cx="971022" cy="365654"/>
        </a:xfrm>
        <a:prstGeom prst="rect">
          <a:avLst/>
        </a:prstGeom>
      </xdr:spPr>
      <xdr:style>
        <a:lnRef idx="0">
          <a:schemeClr val="accent4"/>
        </a:lnRef>
        <a:fillRef idx="3">
          <a:schemeClr val="accent4"/>
        </a:fillRef>
        <a:effectRef idx="3">
          <a:schemeClr val="accent4"/>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IN" sz="1400" b="1" cap="none" spc="0">
              <a:ln w="0"/>
              <a:solidFill>
                <a:schemeClr val="tx1"/>
              </a:solidFill>
              <a:effectLst>
                <a:outerShdw blurRad="38100" dist="19050" dir="2700000" algn="tl" rotWithShape="0">
                  <a:schemeClr val="dk1">
                    <a:alpha val="40000"/>
                  </a:schemeClr>
                </a:outerShdw>
              </a:effectLst>
              <a:latin typeface="+mn-lt"/>
            </a:rPr>
            <a:t>Email</a:t>
          </a:r>
          <a:endParaRPr lang="en-IN" sz="1200" b="1" cap="none" spc="0">
            <a:ln w="0"/>
            <a:solidFill>
              <a:schemeClr val="tx1"/>
            </a:solidFill>
            <a:effectLst>
              <a:outerShdw blurRad="38100" dist="19050" dir="2700000" algn="tl" rotWithShape="0">
                <a:schemeClr val="dk1">
                  <a:alpha val="40000"/>
                </a:schemeClr>
              </a:outerShdw>
            </a:effectLst>
            <a:latin typeface="+mn-lt"/>
          </a:endParaRPr>
        </a:p>
      </xdr:txBody>
    </xdr:sp>
    <xdr:clientData/>
  </xdr:twoCellAnchor>
  <xdr:twoCellAnchor>
    <xdr:from>
      <xdr:col>18</xdr:col>
      <xdr:colOff>1047750</xdr:colOff>
      <xdr:row>0</xdr:row>
      <xdr:rowOff>127000</xdr:rowOff>
    </xdr:from>
    <xdr:to>
      <xdr:col>22</xdr:col>
      <xdr:colOff>56832</xdr:colOff>
      <xdr:row>2</xdr:row>
      <xdr:rowOff>155221</xdr:rowOff>
    </xdr:to>
    <xdr:sp macro="[0]!DownloadCandidateData" textlink="">
      <xdr:nvSpPr>
        <xdr:cNvPr id="57" name="Rounded Rectangle 56"/>
        <xdr:cNvSpPr/>
      </xdr:nvSpPr>
      <xdr:spPr>
        <a:xfrm>
          <a:off x="16073438" y="127000"/>
          <a:ext cx="2557144" cy="393346"/>
        </a:xfrm>
        <a:prstGeom prst="roundRect">
          <a:avLst/>
        </a:prstGeom>
        <a:effectLst>
          <a:outerShdw blurRad="50800" dist="38100" dir="18900000" algn="b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scene3d>
            <a:camera prst="orthographicFront"/>
            <a:lightRig rig="soft" dir="t">
              <a:rot lat="0" lon="0" rev="15600000"/>
            </a:lightRig>
          </a:scene3d>
          <a:sp3d extrusionH="57150" prstMaterial="softEdge">
            <a:bevelT w="25400" h="38100"/>
          </a:sp3d>
        </a:bodyPr>
        <a:lstStyle/>
        <a:p>
          <a:pPr algn="ctr"/>
          <a:r>
            <a:rPr lang="en-IN" sz="1800" b="1" cap="none" spc="0">
              <a:ln w="0">
                <a:solidFill>
                  <a:schemeClr val="tx1">
                    <a:lumMod val="50000"/>
                    <a:lumOff val="50000"/>
                  </a:schemeClr>
                </a:solidFill>
              </a:ln>
              <a:solidFill>
                <a:srgbClr val="C00000"/>
              </a:solidFill>
              <a:effectLst>
                <a:outerShdw blurRad="38100" dist="19050" dir="2700000" algn="tl" rotWithShape="0">
                  <a:schemeClr val="dk1">
                    <a:alpha val="40000"/>
                  </a:schemeClr>
                </a:outerShdw>
              </a:effectLst>
              <a:latin typeface="Arial Black" panose="020B0A04020102020204" pitchFamily="34" charset="0"/>
            </a:rPr>
            <a:t>Export</a:t>
          </a:r>
          <a:r>
            <a:rPr lang="en-IN" sz="1800" b="1" cap="none" spc="0" baseline="0">
              <a:ln w="0">
                <a:solidFill>
                  <a:schemeClr val="tx1">
                    <a:lumMod val="50000"/>
                    <a:lumOff val="50000"/>
                  </a:schemeClr>
                </a:solidFill>
              </a:ln>
              <a:solidFill>
                <a:srgbClr val="C00000"/>
              </a:solidFill>
              <a:effectLst>
                <a:outerShdw blurRad="38100" dist="19050" dir="2700000" algn="tl" rotWithShape="0">
                  <a:schemeClr val="dk1">
                    <a:alpha val="40000"/>
                  </a:schemeClr>
                </a:outerShdw>
              </a:effectLst>
              <a:latin typeface="Arial Black" panose="020B0A04020102020204" pitchFamily="34" charset="0"/>
            </a:rPr>
            <a:t> Data</a:t>
          </a:r>
          <a:endParaRPr lang="en-IN" sz="2000" b="1" cap="none" spc="0">
            <a:ln w="0">
              <a:solidFill>
                <a:schemeClr val="tx1">
                  <a:lumMod val="50000"/>
                  <a:lumOff val="50000"/>
                </a:schemeClr>
              </a:solidFill>
            </a:ln>
            <a:solidFill>
              <a:srgbClr val="C00000"/>
            </a:solidFill>
            <a:effectLst>
              <a:outerShdw dist="38100" dir="2700000" algn="bl" rotWithShape="0">
                <a:schemeClr val="accent5"/>
              </a:outerShdw>
            </a:effectLst>
            <a:latin typeface="Arial Black" panose="020B0A040201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393700</xdr:colOff>
      <xdr:row>0</xdr:row>
      <xdr:rowOff>69850</xdr:rowOff>
    </xdr:from>
    <xdr:to>
      <xdr:col>11</xdr:col>
      <xdr:colOff>463550</xdr:colOff>
      <xdr:row>2</xdr:row>
      <xdr:rowOff>95250</xdr:rowOff>
    </xdr:to>
    <xdr:sp macro="" textlink="">
      <xdr:nvSpPr>
        <xdr:cNvPr id="2" name="Rectangle 1"/>
        <xdr:cNvSpPr/>
      </xdr:nvSpPr>
      <xdr:spPr>
        <a:xfrm>
          <a:off x="3657600" y="69850"/>
          <a:ext cx="3727450" cy="393700"/>
        </a:xfrm>
        <a:prstGeom prst="rect">
          <a:avLst/>
        </a:prstGeom>
        <a:solidFill>
          <a:srgbClr val="FFFF00"/>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t">
          <a:scene3d>
            <a:camera prst="orthographicFront"/>
            <a:lightRig rig="soft" dir="t">
              <a:rot lat="0" lon="0" rev="15600000"/>
            </a:lightRig>
          </a:scene3d>
          <a:sp3d extrusionH="57150" prstMaterial="softEdge">
            <a:bevelT w="25400" h="38100"/>
          </a:sp3d>
        </a:bodyPr>
        <a:lstStyle/>
        <a:p>
          <a:pPr algn="ctr"/>
          <a:r>
            <a:rPr lang="en-IN"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Arial Black" panose="020B0A04020102020204" pitchFamily="34" charset="0"/>
            </a:rPr>
            <a:t>CHART</a:t>
          </a:r>
          <a:r>
            <a:rPr lang="en-IN" sz="20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Arial Black" panose="020B0A04020102020204" pitchFamily="34" charset="0"/>
            </a:rPr>
            <a:t> DATA</a:t>
          </a:r>
          <a:endParaRPr lang="en-IN"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Arial Black" panose="020B0A04020102020204" pitchFamily="34" charset="0"/>
          </a:endParaRPr>
        </a:p>
      </xdr:txBody>
    </xdr:sp>
    <xdr:clientData/>
  </xdr:twoCellAnchor>
  <xdr:twoCellAnchor editAs="oneCell">
    <xdr:from>
      <xdr:col>0</xdr:col>
      <xdr:colOff>0</xdr:colOff>
      <xdr:row>2</xdr:row>
      <xdr:rowOff>158751</xdr:rowOff>
    </xdr:from>
    <xdr:to>
      <xdr:col>2</xdr:col>
      <xdr:colOff>196850</xdr:colOff>
      <xdr:row>17</xdr:row>
      <xdr:rowOff>19051</xdr:rowOff>
    </xdr:to>
    <mc:AlternateContent xmlns:mc="http://schemas.openxmlformats.org/markup-compatibility/2006" xmlns:a14="http://schemas.microsoft.com/office/drawing/2010/main">
      <mc:Choice Requires="a14">
        <xdr:graphicFrame macro="">
          <xdr:nvGraphicFramePr>
            <xdr:cNvPr id="3" name="Candidates"/>
            <xdr:cNvGraphicFramePr/>
          </xdr:nvGraphicFramePr>
          <xdr:xfrm>
            <a:off x="0" y="0"/>
            <a:ext cx="0" cy="0"/>
          </xdr:xfrm>
          <a:graphic>
            <a:graphicData uri="http://schemas.microsoft.com/office/drawing/2010/slicer">
              <sle:slicer xmlns:sle="http://schemas.microsoft.com/office/drawing/2010/slicer" name="Candidates"/>
            </a:graphicData>
          </a:graphic>
        </xdr:graphicFrame>
      </mc:Choice>
      <mc:Fallback xmlns="">
        <xdr:sp macro="" textlink="">
          <xdr:nvSpPr>
            <xdr:cNvPr id="0" name=""/>
            <xdr:cNvSpPr>
              <a:spLocks noTextEdit="1"/>
            </xdr:cNvSpPr>
          </xdr:nvSpPr>
          <xdr:spPr>
            <a:xfrm>
              <a:off x="0" y="527051"/>
              <a:ext cx="1524000" cy="2622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660400</xdr:colOff>
      <xdr:row>3</xdr:row>
      <xdr:rowOff>6350</xdr:rowOff>
    </xdr:from>
    <xdr:to>
      <xdr:col>8</xdr:col>
      <xdr:colOff>285750</xdr:colOff>
      <xdr:row>17</xdr:row>
      <xdr:rowOff>31750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457200</xdr:colOff>
      <xdr:row>2</xdr:row>
      <xdr:rowOff>165100</xdr:rowOff>
    </xdr:from>
    <xdr:to>
      <xdr:col>17</xdr:col>
      <xdr:colOff>406400</xdr:colOff>
      <xdr:row>17</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244475</xdr:colOff>
      <xdr:row>22</xdr:row>
      <xdr:rowOff>19050</xdr:rowOff>
    </xdr:from>
    <xdr:to>
      <xdr:col>3</xdr:col>
      <xdr:colOff>139700</xdr:colOff>
      <xdr:row>37</xdr:row>
      <xdr:rowOff>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603250</xdr:colOff>
      <xdr:row>22</xdr:row>
      <xdr:rowOff>12700</xdr:rowOff>
    </xdr:from>
    <xdr:to>
      <xdr:col>6</xdr:col>
      <xdr:colOff>104775</xdr:colOff>
      <xdr:row>36</xdr:row>
      <xdr:rowOff>177800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234950</xdr:colOff>
      <xdr:row>21</xdr:row>
      <xdr:rowOff>146050</xdr:rowOff>
    </xdr:from>
    <xdr:to>
      <xdr:col>3</xdr:col>
      <xdr:colOff>241300</xdr:colOff>
      <xdr:row>37</xdr:row>
      <xdr:rowOff>95250</xdr:rowOff>
    </xdr:to>
    <xdr:pic>
      <xdr:nvPicPr>
        <xdr:cNvPr id="10" name="Picture 9"/>
        <xdr:cNvPicPr>
          <a:picLocks noChangeAspect="1"/>
        </xdr:cNvPicPr>
      </xdr:nvPicPr>
      <xdr:blipFill rotWithShape="1">
        <a:blip xmlns:r="http://schemas.openxmlformats.org/officeDocument/2006/relationships" r:embed="rId5"/>
        <a:srcRect l="19697" t="4927" r="18687" b="7387"/>
        <a:stretch/>
      </xdr:blipFill>
      <xdr:spPr>
        <a:xfrm>
          <a:off x="844550" y="4013200"/>
          <a:ext cx="1441450" cy="2895600"/>
        </a:xfrm>
        <a:prstGeom prst="rect">
          <a:avLst/>
        </a:prstGeom>
      </xdr:spPr>
    </xdr:pic>
    <xdr:clientData/>
  </xdr:twoCellAnchor>
  <xdr:twoCellAnchor editAs="oneCell">
    <xdr:from>
      <xdr:col>3</xdr:col>
      <xdr:colOff>558800</xdr:colOff>
      <xdr:row>21</xdr:row>
      <xdr:rowOff>177800</xdr:rowOff>
    </xdr:from>
    <xdr:to>
      <xdr:col>6</xdr:col>
      <xdr:colOff>146049</xdr:colOff>
      <xdr:row>37</xdr:row>
      <xdr:rowOff>76201</xdr:rowOff>
    </xdr:to>
    <xdr:pic>
      <xdr:nvPicPr>
        <xdr:cNvPr id="12" name="Picture 11"/>
        <xdr:cNvPicPr>
          <a:picLocks noChangeAspect="1"/>
        </xdr:cNvPicPr>
      </xdr:nvPicPr>
      <xdr:blipFill rotWithShape="1">
        <a:blip xmlns:r="http://schemas.openxmlformats.org/officeDocument/2006/relationships" r:embed="rId6"/>
        <a:srcRect l="12679" t="8737" r="15833" b="6796"/>
        <a:stretch/>
      </xdr:blipFill>
      <xdr:spPr>
        <a:xfrm>
          <a:off x="2603500" y="4044950"/>
          <a:ext cx="1416049" cy="2844801"/>
        </a:xfrm>
        <a:prstGeom prst="rect">
          <a:avLst/>
        </a:prstGeom>
      </xdr:spPr>
    </xdr:pic>
    <xdr:clientData/>
  </xdr:twoCellAnchor>
  <xdr:twoCellAnchor>
    <xdr:from>
      <xdr:col>1</xdr:col>
      <xdr:colOff>527050</xdr:colOff>
      <xdr:row>21</xdr:row>
      <xdr:rowOff>12700</xdr:rowOff>
    </xdr:from>
    <xdr:to>
      <xdr:col>2</xdr:col>
      <xdr:colOff>692150</xdr:colOff>
      <xdr:row>22</xdr:row>
      <xdr:rowOff>69850</xdr:rowOff>
    </xdr:to>
    <xdr:sp macro="" textlink="">
      <xdr:nvSpPr>
        <xdr:cNvPr id="13" name="TextBox 12"/>
        <xdr:cNvSpPr txBox="1"/>
      </xdr:nvSpPr>
      <xdr:spPr>
        <a:xfrm>
          <a:off x="1136650" y="3879850"/>
          <a:ext cx="882650" cy="241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t>MALE</a:t>
          </a:r>
        </a:p>
      </xdr:txBody>
    </xdr:sp>
    <xdr:clientData/>
  </xdr:twoCellAnchor>
  <xdr:twoCellAnchor>
    <xdr:from>
      <xdr:col>4</xdr:col>
      <xdr:colOff>247650</xdr:colOff>
      <xdr:row>21</xdr:row>
      <xdr:rowOff>0</xdr:rowOff>
    </xdr:from>
    <xdr:to>
      <xdr:col>5</xdr:col>
      <xdr:colOff>520700</xdr:colOff>
      <xdr:row>22</xdr:row>
      <xdr:rowOff>57150</xdr:rowOff>
    </xdr:to>
    <xdr:sp macro="" textlink="">
      <xdr:nvSpPr>
        <xdr:cNvPr id="14" name="TextBox 13"/>
        <xdr:cNvSpPr txBox="1"/>
      </xdr:nvSpPr>
      <xdr:spPr>
        <a:xfrm>
          <a:off x="2901950" y="3867150"/>
          <a:ext cx="882650" cy="241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t>FEMALE</a:t>
          </a:r>
        </a:p>
      </xdr:txBody>
    </xdr:sp>
    <xdr:clientData/>
  </xdr:twoCellAnchor>
  <xdr:twoCellAnchor>
    <xdr:from>
      <xdr:col>8</xdr:col>
      <xdr:colOff>406400</xdr:colOff>
      <xdr:row>21</xdr:row>
      <xdr:rowOff>120650</xdr:rowOff>
    </xdr:from>
    <xdr:to>
      <xdr:col>17</xdr:col>
      <xdr:colOff>600075</xdr:colOff>
      <xdr:row>36</xdr:row>
      <xdr:rowOff>101600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AIYAM PERUMAL" refreshedDate="45178.507488078707" createdVersion="5" refreshedVersion="5" minRefreshableVersion="3" recordCount="8">
  <cacheSource type="worksheet">
    <worksheetSource name="RawData"/>
  </cacheSource>
  <cacheFields count="16">
    <cacheField name="Candidates" numFmtId="0">
      <sharedItems count="8">
        <s v="Aiyam"/>
        <s v="Sana"/>
        <s v="Rehan"/>
        <s v="Rohith"/>
        <s v="Madhav krishna"/>
        <s v="Manisha"/>
        <s v="Karthick Pranav"/>
        <s v="Hariharan"/>
      </sharedItems>
    </cacheField>
    <cacheField name="Present Count" numFmtId="0">
      <sharedItems containsSemiMixedTypes="0" containsString="0" containsNumber="1" containsInteger="1" minValue="3" maxValue="8"/>
    </cacheField>
    <cacheField name="Absent Count" numFmtId="0">
      <sharedItems containsSemiMixedTypes="0" containsString="0" containsNumber="1" containsInteger="1" minValue="0" maxValue="5"/>
    </cacheField>
    <cacheField name="Total Session" numFmtId="0">
      <sharedItems containsSemiMixedTypes="0" containsString="0" containsNumber="1" containsInteger="1" minValue="8" maxValue="8"/>
    </cacheField>
    <cacheField name="Attendance Percent" numFmtId="10">
      <sharedItems containsSemiMixedTypes="0" containsString="0" containsNumber="1" minValue="0.375" maxValue="1"/>
    </cacheField>
    <cacheField name="Task Completed Count" numFmtId="0">
      <sharedItems containsSemiMixedTypes="0" containsString="0" containsNumber="1" containsInteger="1" minValue="1" maxValue="4"/>
    </cacheField>
    <cacheField name="Task Remaining Count" numFmtId="0">
      <sharedItems containsSemiMixedTypes="0" containsString="0" containsNumber="1" containsInteger="1" minValue="0" maxValue="3"/>
    </cacheField>
    <cacheField name="Total Tasks" numFmtId="0">
      <sharedItems containsSemiMixedTypes="0" containsString="0" containsNumber="1" containsInteger="1" minValue="4" maxValue="4"/>
    </cacheField>
    <cacheField name="Fee Paid" numFmtId="0">
      <sharedItems containsSemiMixedTypes="0" containsString="0" containsNumber="1" containsInteger="1" minValue="8000" maxValue="12500"/>
    </cacheField>
    <cacheField name="Reamining Fee" numFmtId="0">
      <sharedItems containsSemiMixedTypes="0" containsString="0" containsNumber="1" containsInteger="1" minValue="0" maxValue="4500"/>
    </cacheField>
    <cacheField name="Score" numFmtId="0">
      <sharedItems containsSemiMixedTypes="0" containsString="0" containsNumber="1" containsInteger="1" minValue="120" maxValue="470"/>
    </cacheField>
    <cacheField name="Total Credits" numFmtId="0">
      <sharedItems containsSemiMixedTypes="0" containsString="0" containsNumber="1" containsInteger="1" minValue="470" maxValue="470"/>
    </cacheField>
    <cacheField name="Rating" numFmtId="0">
      <sharedItems/>
    </cacheField>
    <cacheField name="Tools" numFmtId="0">
      <sharedItems/>
    </cacheField>
    <cacheField name="Github" numFmtId="0">
      <sharedItems/>
    </cacheField>
    <cacheField name="Overall Percentage" numFmtId="10">
      <sharedItems containsSemiMixedTypes="0" containsString="0" containsNumber="1" minValue="0.63031914893617014" maxValue="2"/>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8">
  <r>
    <x v="0"/>
    <n v="8"/>
    <n v="0"/>
    <n v="8"/>
    <n v="1"/>
    <n v="4"/>
    <n v="0"/>
    <n v="4"/>
    <n v="12500"/>
    <n v="0"/>
    <n v="470"/>
    <n v="470"/>
    <s v="★★★★★"/>
    <s v="MySql,Python,PowerBi,GitHub"/>
    <s v="https://github.com/AiyamPerumal0404"/>
    <n v="2"/>
  </r>
  <r>
    <x v="1"/>
    <n v="6"/>
    <n v="2"/>
    <n v="8"/>
    <n v="0.75"/>
    <n v="2"/>
    <n v="2"/>
    <n v="4"/>
    <n v="12500"/>
    <n v="0"/>
    <n v="270"/>
    <n v="470"/>
    <s v="★★"/>
    <s v="MySql,Python,PowerBi,GitHub"/>
    <s v="Not Updated"/>
    <n v="1.324468085106383"/>
  </r>
  <r>
    <x v="2"/>
    <n v="7"/>
    <n v="1"/>
    <n v="8"/>
    <n v="0.875"/>
    <n v="3"/>
    <n v="1"/>
    <n v="4"/>
    <n v="12500"/>
    <n v="0"/>
    <n v="370"/>
    <n v="470"/>
    <s v="★★★"/>
    <s v="MySql,Python,PowerBi,GitHub"/>
    <s v="Not Updated"/>
    <n v="1.6622340425531914"/>
  </r>
  <r>
    <x v="3"/>
    <n v="5"/>
    <n v="3"/>
    <n v="8"/>
    <n v="0.625"/>
    <n v="1"/>
    <n v="3"/>
    <n v="4"/>
    <n v="8000"/>
    <n v="4500"/>
    <n v="120"/>
    <n v="470"/>
    <s v="★"/>
    <s v="MySql,Python,PowerBi,GitHub"/>
    <s v="Not Updated"/>
    <n v="0.88031914893617014"/>
  </r>
  <r>
    <x v="4"/>
    <n v="7"/>
    <n v="1"/>
    <n v="8"/>
    <n v="0.875"/>
    <n v="3"/>
    <n v="1"/>
    <n v="4"/>
    <n v="8000"/>
    <n v="4500"/>
    <n v="370"/>
    <n v="470"/>
    <s v="★★★"/>
    <s v="MySql,Python,PowerBi,GitHub"/>
    <s v="Not Updated"/>
    <n v="1.6622340425531914"/>
  </r>
  <r>
    <x v="5"/>
    <n v="5"/>
    <n v="3"/>
    <n v="8"/>
    <n v="0.625"/>
    <n v="2"/>
    <n v="2"/>
    <n v="4"/>
    <n v="8000"/>
    <n v="4500"/>
    <n v="270"/>
    <n v="470"/>
    <s v="★★"/>
    <s v="MySql,Python,PowerBi,GitHub"/>
    <s v="Not Updated"/>
    <n v="1.199468085106383"/>
  </r>
  <r>
    <x v="6"/>
    <n v="7"/>
    <n v="1"/>
    <n v="8"/>
    <n v="0.875"/>
    <n v="3"/>
    <n v="1"/>
    <n v="4"/>
    <n v="12500"/>
    <n v="0"/>
    <n v="370"/>
    <n v="470"/>
    <s v="★★★"/>
    <s v="MySql,Python,PowerBi,GitHub"/>
    <s v="Not Updated"/>
    <n v="1.6622340425531914"/>
  </r>
  <r>
    <x v="7"/>
    <n v="3"/>
    <n v="5"/>
    <n v="8"/>
    <n v="0.375"/>
    <n v="1"/>
    <n v="3"/>
    <n v="4"/>
    <n v="8000"/>
    <n v="4500"/>
    <n v="120"/>
    <n v="470"/>
    <s v="★"/>
    <s v="MySql,Python,PowerBi,GitHub"/>
    <s v="Not Updated"/>
    <n v="0.630319148936170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chartFormat="16">
  <location ref="F3:H11" firstHeaderRow="0" firstDataRow="1" firstDataCol="1"/>
  <pivotFields count="16">
    <pivotField axis="axisRow" showAll="0">
      <items count="9">
        <item x="0"/>
        <item x="7"/>
        <item x="6"/>
        <item x="4"/>
        <item x="5"/>
        <item x="2"/>
        <item x="3"/>
        <item x="1"/>
        <item t="default"/>
      </items>
    </pivotField>
    <pivotField showAll="0"/>
    <pivotField showAll="0"/>
    <pivotField showAll="0"/>
    <pivotField numFmtId="10" showAll="0"/>
    <pivotField showAll="0"/>
    <pivotField showAll="0"/>
    <pivotField showAll="0"/>
    <pivotField showAll="0"/>
    <pivotField showAll="0"/>
    <pivotField dataField="1" showAll="0"/>
    <pivotField dataField="1" showAll="0"/>
    <pivotField showAll="0"/>
    <pivotField showAll="0"/>
    <pivotField showAll="0"/>
    <pivotField numFmtId="10" showAll="0"/>
  </pivotFields>
  <rowFields count="1">
    <field x="0"/>
  </rowFields>
  <rowItems count="8">
    <i>
      <x/>
    </i>
    <i>
      <x v="1"/>
    </i>
    <i>
      <x v="2"/>
    </i>
    <i>
      <x v="3"/>
    </i>
    <i>
      <x v="4"/>
    </i>
    <i>
      <x v="5"/>
    </i>
    <i>
      <x v="6"/>
    </i>
    <i>
      <x v="7"/>
    </i>
  </rowItems>
  <colFields count="1">
    <field x="-2"/>
  </colFields>
  <colItems count="2">
    <i>
      <x/>
    </i>
    <i i="1">
      <x v="1"/>
    </i>
  </colItems>
  <dataFields count="2">
    <dataField name="Score Obtained" fld="10" baseField="0" baseItem="0"/>
    <dataField name="Total" fld="11" baseField="0" baseItem="0"/>
  </dataFields>
  <chartFormats count="3">
    <chartFormat chart="15" format="4"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1"/>
          </reference>
        </references>
      </pivotArea>
    </chartFormat>
    <chartFormat chart="15" format="6">
      <pivotArea type="data" outline="0" fieldPosition="0">
        <references count="2">
          <reference field="4294967294" count="1" selected="0">
            <x v="1"/>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chartFormat="11">
  <location ref="J3:K11" firstHeaderRow="1" firstDataRow="1" firstDataCol="1"/>
  <pivotFields count="16">
    <pivotField axis="axisRow" showAll="0">
      <items count="9">
        <item x="0"/>
        <item x="7"/>
        <item x="6"/>
        <item x="4"/>
        <item x="5"/>
        <item x="2"/>
        <item x="3"/>
        <item x="1"/>
        <item t="default"/>
      </items>
    </pivotField>
    <pivotField showAll="0"/>
    <pivotField showAll="0"/>
    <pivotField showAll="0"/>
    <pivotField numFmtId="10" showAll="0"/>
    <pivotField showAll="0"/>
    <pivotField showAll="0"/>
    <pivotField showAll="0"/>
    <pivotField showAll="0"/>
    <pivotField showAll="0"/>
    <pivotField showAll="0"/>
    <pivotField showAll="0"/>
    <pivotField showAll="0"/>
    <pivotField showAll="0"/>
    <pivotField showAll="0"/>
    <pivotField dataField="1" numFmtId="10" showAll="0"/>
  </pivotFields>
  <rowFields count="1">
    <field x="0"/>
  </rowFields>
  <rowItems count="8">
    <i>
      <x/>
    </i>
    <i>
      <x v="1"/>
    </i>
    <i>
      <x v="2"/>
    </i>
    <i>
      <x v="3"/>
    </i>
    <i>
      <x v="4"/>
    </i>
    <i>
      <x v="5"/>
    </i>
    <i>
      <x v="6"/>
    </i>
    <i>
      <x v="7"/>
    </i>
  </rowItems>
  <colItems count="1">
    <i/>
  </colItems>
  <dataFields count="1">
    <dataField name="Average of Overall Percentage" fld="15" subtotal="average" baseField="0" baseItem="0"/>
  </dataFields>
  <formats count="1">
    <format dxfId="15">
      <pivotArea collapsedLevelsAreSubtotals="1" fieldPosition="0">
        <references count="1">
          <reference field="0" count="0"/>
        </references>
      </pivotArea>
    </format>
  </formats>
  <chartFormats count="3">
    <chartFormat chart="7"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chartFormat="16">
  <location ref="A3:D11" firstHeaderRow="0" firstDataRow="1" firstDataCol="1"/>
  <pivotFields count="16">
    <pivotField axis="axisRow" showAll="0">
      <items count="9">
        <item x="0"/>
        <item x="7"/>
        <item x="6"/>
        <item x="4"/>
        <item x="5"/>
        <item x="2"/>
        <item x="3"/>
        <item x="1"/>
        <item t="default"/>
      </items>
    </pivotField>
    <pivotField dataField="1" showAll="0"/>
    <pivotField dataField="1" showAll="0"/>
    <pivotField dataField="1" showAll="0"/>
    <pivotField numFmtId="10" showAll="0"/>
    <pivotField showAll="0"/>
    <pivotField showAll="0"/>
    <pivotField showAll="0"/>
    <pivotField showAll="0"/>
    <pivotField showAll="0"/>
    <pivotField showAll="0"/>
    <pivotField showAll="0"/>
    <pivotField showAll="0"/>
    <pivotField showAll="0"/>
    <pivotField showAll="0"/>
    <pivotField numFmtId="10" showAll="0"/>
  </pivotFields>
  <rowFields count="1">
    <field x="0"/>
  </rowFields>
  <rowItems count="8">
    <i>
      <x/>
    </i>
    <i>
      <x v="1"/>
    </i>
    <i>
      <x v="2"/>
    </i>
    <i>
      <x v="3"/>
    </i>
    <i>
      <x v="4"/>
    </i>
    <i>
      <x v="5"/>
    </i>
    <i>
      <x v="6"/>
    </i>
    <i>
      <x v="7"/>
    </i>
  </rowItems>
  <colFields count="1">
    <field x="-2"/>
  </colFields>
  <colItems count="3">
    <i>
      <x/>
    </i>
    <i i="1">
      <x v="1"/>
    </i>
    <i i="2">
      <x v="2"/>
    </i>
  </colItems>
  <dataFields count="3">
    <dataField name="Present" fld="1" baseField="0" baseItem="0"/>
    <dataField name="Absent" fld="2" baseField="0" baseItem="0"/>
    <dataField name="Total" fld="3" baseField="0" baseItem="0"/>
  </dataFields>
  <chartFormats count="9">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12" format="3"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1"/>
          </reference>
        </references>
      </pivotArea>
    </chartFormat>
    <chartFormat chart="12" format="5" series="1">
      <pivotArea type="data" outline="0" fieldPosition="0">
        <references count="1">
          <reference field="4294967294" count="1" selected="0">
            <x v="2"/>
          </reference>
        </references>
      </pivotArea>
    </chartFormat>
    <chartFormat chart="13" format="6" series="1">
      <pivotArea type="data" outline="0" fieldPosition="0">
        <references count="1">
          <reference field="4294967294" count="1" selected="0">
            <x v="0"/>
          </reference>
        </references>
      </pivotArea>
    </chartFormat>
    <chartFormat chart="13" format="7" series="1">
      <pivotArea type="data" outline="0" fieldPosition="0">
        <references count="1">
          <reference field="4294967294" count="1" selected="0">
            <x v="1"/>
          </reference>
        </references>
      </pivotArea>
    </chartFormat>
    <chartFormat chart="1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andidates" sourceName="Candidates">
  <pivotTables>
    <pivotTable tabId="12" name="PivotTable1"/>
    <pivotTable tabId="12" name="PivotTable3"/>
    <pivotTable tabId="12" name="PivotTable4"/>
  </pivotTables>
  <data>
    <tabular pivotCacheId="1">
      <items count="8">
        <i x="0" s="1"/>
        <i x="7" s="1"/>
        <i x="6" s="1"/>
        <i x="4" s="1"/>
        <i x="5" s="1"/>
        <i x="2" s="1"/>
        <i x="3" s="1"/>
        <i x="1"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andidates" cache="Slicer_Candidates" caption="Candidates" rowHeight="241300"/>
</slicers>
</file>

<file path=xl/tables/table1.xml><?xml version="1.0" encoding="utf-8"?>
<table xmlns="http://schemas.openxmlformats.org/spreadsheetml/2006/main" id="1" name="UserData_Candidates" displayName="UserData_Candidates" ref="A1:C6" totalsRowShown="0">
  <autoFilter ref="A1:C6"/>
  <tableColumns count="3">
    <tableColumn id="1" name="Username"/>
    <tableColumn id="2" name="Password"/>
    <tableColumn id="3" name="Last Login Time" dataDxfId="20"/>
  </tableColumns>
  <tableStyleInfo name="TableStyleMedium2" showFirstColumn="0" showLastColumn="0" showRowStripes="1" showColumnStripes="0"/>
</table>
</file>

<file path=xl/tables/table2.xml><?xml version="1.0" encoding="utf-8"?>
<table xmlns="http://schemas.openxmlformats.org/spreadsheetml/2006/main" id="2" name="UserData_Mentors" displayName="UserData_Mentors" ref="E1:G3" totalsRowShown="0">
  <autoFilter ref="E1:G3"/>
  <tableColumns count="3">
    <tableColumn id="1" name="Username"/>
    <tableColumn id="2" name="Password"/>
    <tableColumn id="3" name="Last Login Time"/>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A1:I9" totalsRowShown="0" headerRowDxfId="19">
  <autoFilter ref="A1:I9"/>
  <tableColumns count="9">
    <tableColumn id="1" name="Names/Sessions">
      <calculatedColumnFormula>RawData[[#This Row],[Candidates]]</calculatedColumnFormula>
    </tableColumn>
    <tableColumn id="2" name="Session1"/>
    <tableColumn id="3" name="Session2"/>
    <tableColumn id="4" name="Session3"/>
    <tableColumn id="5" name="Session4"/>
    <tableColumn id="6" name="Session5"/>
    <tableColumn id="7" name="Session6"/>
    <tableColumn id="8" name="Session7"/>
    <tableColumn id="9" name="Session8"/>
  </tableColumns>
  <tableStyleInfo name="TableStyleMedium2" showFirstColumn="0" showLastColumn="0" showRowStripes="1" showColumnStripes="0"/>
</table>
</file>

<file path=xl/tables/table4.xml><?xml version="1.0" encoding="utf-8"?>
<table xmlns="http://schemas.openxmlformats.org/spreadsheetml/2006/main" id="5" name="Table5" displayName="Table5" ref="A1:E9" totalsRowShown="0">
  <autoFilter ref="A1:E9"/>
  <tableColumns count="5">
    <tableColumn id="1" name="Candidate/Tasks">
      <calculatedColumnFormula>RawData!A:A</calculatedColumnFormula>
    </tableColumn>
    <tableColumn id="2" name="Task1- ETL" dataDxfId="18"/>
    <tableColumn id="3" name="Task2-Table Creation"/>
    <tableColumn id="4" name="Task 3 - Datatypes"/>
    <tableColumn id="5" name="Task 4 - Derived Tables"/>
  </tableColumns>
  <tableStyleInfo name="TableStyleMedium2" showFirstColumn="0" showLastColumn="0" showRowStripes="1" showColumnStripes="0"/>
</table>
</file>

<file path=xl/tables/table5.xml><?xml version="1.0" encoding="utf-8"?>
<table xmlns="http://schemas.openxmlformats.org/spreadsheetml/2006/main" id="8" name="Table8" displayName="Table8" ref="A1:E9" totalsRowShown="0">
  <autoFilter ref="A1:E9"/>
  <tableColumns count="5">
    <tableColumn id="1" name="Candidates">
      <calculatedColumnFormula>RawData!A:A</calculatedColumnFormula>
    </tableColumn>
    <tableColumn id="2" name="Task1- ETL">
      <calculatedColumnFormula>IF(Tasks!B:B="Completed",Task_Credits!B$2,0)</calculatedColumnFormula>
    </tableColumn>
    <tableColumn id="3" name="Task2-Table Creation">
      <calculatedColumnFormula>IF(Tasks!C:C="Completed",Task_Credits!C$2,0)</calculatedColumnFormula>
    </tableColumn>
    <tableColumn id="4" name="Task 3 - Datatypes">
      <calculatedColumnFormula>IF(Tasks!D:D="Completed",Task_Credits!D$2,0)</calculatedColumnFormula>
    </tableColumn>
    <tableColumn id="5" name="Task 4 - Derived Tables" dataDxfId="17">
      <calculatedColumnFormula>IF(Tasks!E:E="Completed",Task_Credits!E$2,0)</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A1:E2" totalsRowShown="0">
  <autoFilter ref="A1:E2"/>
  <tableColumns count="5">
    <tableColumn id="1" name="Column1"/>
    <tableColumn id="2" name="Task1- ETL"/>
    <tableColumn id="3" name="Task2-Table Creation"/>
    <tableColumn id="4" name="Task 3 - Datatypes"/>
    <tableColumn id="5" name="Task 4 - Derived Tables"/>
  </tableColumns>
  <tableStyleInfo name="TableStyleMedium2" showFirstColumn="0" showLastColumn="0" showRowStripes="1" showColumnStripes="0"/>
</table>
</file>

<file path=xl/tables/table7.xml><?xml version="1.0" encoding="utf-8"?>
<table xmlns="http://schemas.openxmlformats.org/spreadsheetml/2006/main" id="9" name="Table9" displayName="Table9" ref="A1:I9" totalsRowShown="0">
  <autoFilter ref="A1:I9"/>
  <tableColumns count="9">
    <tableColumn id="1" name="Candidates">
      <calculatedColumnFormula>RawData[[#This Row],[Candidates]]</calculatedColumnFormula>
    </tableColumn>
    <tableColumn id="2" name="Sex"/>
    <tableColumn id="3" name="Degree"/>
    <tableColumn id="4" name="College"/>
    <tableColumn id="5" name="Passed Out at"/>
    <tableColumn id="6" name="Domain"/>
    <tableColumn id="7" name="Profession"/>
    <tableColumn id="8" name="Company"/>
    <tableColumn id="10" name="Email"/>
  </tableColumns>
  <tableStyleInfo name="TableStyleLight19" showFirstColumn="0" showLastColumn="0" showRowStripes="1" showColumnStripes="0"/>
</table>
</file>

<file path=xl/tables/table8.xml><?xml version="1.0" encoding="utf-8"?>
<table xmlns="http://schemas.openxmlformats.org/spreadsheetml/2006/main" id="12" name="Table12" displayName="Table12" ref="M1:Q9" totalsRowShown="0">
  <autoFilter ref="M1:Q9"/>
  <tableColumns count="5">
    <tableColumn id="1" name="Candidates" dataDxfId="16">
      <calculatedColumnFormula>RawData[[#This Row],[Candidates]]</calculatedColumnFormula>
    </tableColumn>
    <tableColumn id="2" name="Intern Task"/>
    <tableColumn id="3" name="Domain"/>
    <tableColumn id="4" name="Completion Status"/>
    <tableColumn id="5" name="Targeted Company"/>
  </tableColumns>
  <tableStyleInfo name="TableStyleLight20" showFirstColumn="0" showLastColumn="0" showRowStripes="1" showColumnStripes="0"/>
</table>
</file>

<file path=xl/tables/table9.xml><?xml version="1.0" encoding="utf-8"?>
<table xmlns="http://schemas.openxmlformats.org/spreadsheetml/2006/main" id="7" name="Table7" displayName="Table7" ref="A1:C9" totalsRowShown="0">
  <autoFilter ref="A1:C9"/>
  <tableColumns count="3">
    <tableColumn id="1" name="Candidates">
      <calculatedColumnFormula>RawData!A:A</calculatedColumnFormula>
    </tableColumn>
    <tableColumn id="2" name="Fees Paid"/>
    <tableColumn id="3" name="Remaining amount">
      <calculatedColumnFormula>12500-Table7[[#This Row],[Fees Paid]]</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3" name="RawData" displayName="RawData" ref="A1:P9" totalsRowShown="0">
  <autoFilter ref="A1:P9"/>
  <tableColumns count="16">
    <tableColumn id="1" name="Candidates"/>
    <tableColumn id="2" name="Present Count" dataDxfId="14">
      <calculatedColumnFormula>COUNTIF(Attendance!B2:Z2,"Present")</calculatedColumnFormula>
    </tableColumn>
    <tableColumn id="3" name="Absent Count" dataDxfId="13">
      <calculatedColumnFormula>COUNTIF(Attendance!B2:Z2,"Absent")</calculatedColumnFormula>
    </tableColumn>
    <tableColumn id="4" name="Total Session" dataDxfId="12">
      <calculatedColumnFormula>SUM(RawData[[#This Row],[Present Count]]+RawData[[#This Row],[Absent Count]])</calculatedColumnFormula>
    </tableColumn>
    <tableColumn id="5" name="Attendance Percent" dataDxfId="11">
      <calculatedColumnFormula>RawData[[#This Row],[Present Count]]/RawData[[#This Row],[Total Session]]</calculatedColumnFormula>
    </tableColumn>
    <tableColumn id="6" name="Task Completed Count" dataDxfId="10">
      <calculatedColumnFormula>COUNTIF(Tasks!B2:Z2,"Completed")</calculatedColumnFormula>
    </tableColumn>
    <tableColumn id="7" name="Task Remaining Count" dataDxfId="9">
      <calculatedColumnFormula>COUNTIF(Tasks!B2:Z2,"Not Completed ")</calculatedColumnFormula>
    </tableColumn>
    <tableColumn id="8" name="Total Tasks" dataDxfId="8">
      <calculatedColumnFormula>SUM(RawData[[#This Row],[Task Completed Count]]+RawData[[#This Row],[Task Remaining Count]])</calculatedColumnFormula>
    </tableColumn>
    <tableColumn id="9" name="Fee Paid" dataDxfId="7">
      <calculatedColumnFormula>INDEX(Fees_Details!B:B,MATCH(A:A,Fees_Details!A:A,0))</calculatedColumnFormula>
    </tableColumn>
    <tableColumn id="10" name="Reamining Fee" dataDxfId="6">
      <calculatedColumnFormula>INDEX(Fees_Details!C:C,MATCH(RawData!A:A,Fees_Details!A:A,0))</calculatedColumnFormula>
    </tableColumn>
    <tableColumn id="11" name="Score" dataDxfId="5">
      <calculatedColumnFormula>SUM(Cand_Credits!B2:Z2)</calculatedColumnFormula>
    </tableColumn>
    <tableColumn id="12" name="Total Credits" dataDxfId="4">
      <calculatedColumnFormula>Task_Credits!$C$6</calculatedColumnFormula>
    </tableColumn>
    <tableColumn id="14" name="Rating" dataDxfId="3">
      <calculatedColumnFormula>IF(RawData[[#This Row],[Score]]/RawData[[#This Row],[Total Credits]] &gt;= 0.9, "★★★★★", IF(RawData[[#This Row],[Score]]/RawData[[#This Row],[Total Credits]] &gt;= 0.8, "★★★★", IF(RawData[[#This Row],[Score]]/RawData[[#This Row],[Total Credits]] &gt;= 0.6, "★★★", IF(RawData[[#This Row],[Score]]/RawData[[#This Row],[Total Credits]] &gt;= 0.4, "★★", "★"))))</calculatedColumnFormula>
    </tableColumn>
    <tableColumn id="15" name="Tools" dataDxfId="2">
      <calculatedColumnFormula>INDEX(Tools!B:B,MATCH(RawData[[#This Row],[Candidates]],Tools!A:A,0))</calculatedColumnFormula>
    </tableColumn>
    <tableColumn id="13" name="Github" dataDxfId="1">
      <calculatedColumnFormula>INDEX(Tools!H:H,MATCH(RawData[[#This Row],[Candidates]],Tools!G:G,0))</calculatedColumnFormula>
    </tableColumn>
    <tableColumn id="16" name="Overall Percentage" dataDxfId="0">
      <calculatedColumnFormula>SUM(E2,(K2/L2))</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0" name="Table10" displayName="Table10" ref="A1:B9" totalsRowShown="0">
  <autoFilter ref="A1:B9"/>
  <tableColumns count="2">
    <tableColumn id="1" name="Candidates">
      <calculatedColumnFormula>RawData[[#This Row],[Candidates]]</calculatedColumnFormula>
    </tableColumn>
    <tableColumn id="2" name="Tools Installed"/>
  </tableColumns>
  <tableStyleInfo name="TableStyleMedium2" showFirstColumn="0" showLastColumn="0" showRowStripes="1" showColumnStripes="0"/>
</table>
</file>

<file path=xl/tables/table12.xml><?xml version="1.0" encoding="utf-8"?>
<table xmlns="http://schemas.openxmlformats.org/spreadsheetml/2006/main" id="11" name="Table11" displayName="Table11" ref="G1:H9" totalsRowShown="0">
  <autoFilter ref="G1:H9"/>
  <tableColumns count="2">
    <tableColumn id="1" name="Candidates">
      <calculatedColumnFormula>RawData[[#This Row],[Candidates]]</calculatedColumnFormula>
    </tableColumn>
    <tableColumn id="2" name="Github Profil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scene3d>
          <a:camera prst="orthographicFront"/>
          <a:lightRig rig="soft" dir="t">
            <a:rot lat="0" lon="0" rev="15600000"/>
          </a:lightRig>
        </a:scene3d>
        <a:sp3d extrusionH="57150" prstMaterial="softEdge">
          <a:bevelT w="25400" h="38100"/>
        </a:sp3d>
      </a:bodyPr>
      <a:lstStyle>
        <a:defPPr algn="ctr">
          <a:defRPr sz="2000" b="1" cap="none" spc="0">
            <a:ln w="13462">
              <a:solidFill>
                <a:schemeClr val="bg1"/>
              </a:solidFill>
              <a:prstDash val="solid"/>
            </a:ln>
            <a:solidFill>
              <a:srgbClr val="C00000"/>
            </a:solidFill>
            <a:effectLst>
              <a:outerShdw dist="38100" dir="2700000" algn="bl" rotWithShape="0">
                <a:schemeClr val="accent5"/>
              </a:outerShdw>
            </a:effectLst>
            <a:latin typeface="Arial Black" panose="020B0A04020102020204" pitchFamily="34" charset="0"/>
          </a:defRPr>
        </a:defPPr>
      </a:lstStyle>
      <a:style>
        <a:lnRef idx="1">
          <a:schemeClr val="accent1"/>
        </a:lnRef>
        <a:fillRef idx="2">
          <a:schemeClr val="accent1"/>
        </a:fillRef>
        <a:effectRef idx="1">
          <a:schemeClr val="accent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hyperlink" Target="mailto:aiyamperumal1999@gmail.com"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hyperlink" Target="https://github.com/AiyamPerumal0404?tab=repositorie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tabSelected="1" topLeftCell="B1" zoomScaleNormal="100" workbookViewId="0">
      <selection activeCell="B2" sqref="B2"/>
    </sheetView>
  </sheetViews>
  <sheetFormatPr defaultRowHeight="14.5" x14ac:dyDescent="0.35"/>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1"/>
  <sheetViews>
    <sheetView workbookViewId="0">
      <selection activeCell="F3" sqref="F3"/>
    </sheetView>
  </sheetViews>
  <sheetFormatPr defaultRowHeight="14.5" x14ac:dyDescent="0.35"/>
  <cols>
    <col min="1" max="1" width="6" bestFit="1" customWidth="1"/>
    <col min="2" max="2" width="10.81640625" bestFit="1" customWidth="1"/>
    <col min="3" max="3" width="27.54296875" bestFit="1" customWidth="1"/>
    <col min="4" max="4" width="10.26953125" bestFit="1" customWidth="1"/>
    <col min="5" max="5" width="13.1796875" bestFit="1" customWidth="1"/>
    <col min="6" max="6" width="15.1796875" style="7" bestFit="1" customWidth="1"/>
  </cols>
  <sheetData>
    <row r="1" spans="1:6" x14ac:dyDescent="0.35">
      <c r="A1" s="33" t="s">
        <v>97</v>
      </c>
      <c r="B1" s="33" t="s">
        <v>98</v>
      </c>
      <c r="C1" s="33" t="s">
        <v>99</v>
      </c>
      <c r="D1" s="33" t="s">
        <v>100</v>
      </c>
      <c r="E1" s="33" t="s">
        <v>101</v>
      </c>
      <c r="F1" s="34" t="s">
        <v>102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6"/>
  <sheetViews>
    <sheetView workbookViewId="0">
      <selection activeCell="J2" sqref="J2"/>
    </sheetView>
  </sheetViews>
  <sheetFormatPr defaultRowHeight="14.5" x14ac:dyDescent="0.35"/>
  <cols>
    <col min="1" max="1" width="11.6328125" bestFit="1" customWidth="1"/>
    <col min="2" max="2" width="11.1796875" bestFit="1" customWidth="1"/>
    <col min="3" max="3" width="15.90625" style="7" bestFit="1" customWidth="1"/>
    <col min="5" max="5" width="11.6328125" bestFit="1" customWidth="1"/>
    <col min="6" max="6" width="11.1796875" bestFit="1" customWidth="1"/>
    <col min="7" max="7" width="15.90625" bestFit="1" customWidth="1"/>
    <col min="10" max="10" width="29.90625" bestFit="1" customWidth="1"/>
  </cols>
  <sheetData>
    <row r="1" spans="1:12" x14ac:dyDescent="0.35">
      <c r="A1" t="s">
        <v>0</v>
      </c>
      <c r="B1" t="s">
        <v>1</v>
      </c>
      <c r="C1" s="7" t="s">
        <v>39</v>
      </c>
      <c r="E1" t="s">
        <v>0</v>
      </c>
      <c r="F1" t="s">
        <v>1</v>
      </c>
      <c r="G1" t="s">
        <v>39</v>
      </c>
      <c r="J1" s="8" t="s">
        <v>56</v>
      </c>
    </row>
    <row r="2" spans="1:12" ht="29" x14ac:dyDescent="0.35">
      <c r="A2" t="s">
        <v>2</v>
      </c>
      <c r="B2" s="1">
        <v>12345</v>
      </c>
      <c r="C2" s="7">
        <v>45178.505532407406</v>
      </c>
      <c r="E2" t="s">
        <v>7</v>
      </c>
      <c r="F2" s="2" t="s">
        <v>7</v>
      </c>
      <c r="G2" s="7">
        <v>45178.507465277777</v>
      </c>
      <c r="J2" s="10" t="s">
        <v>105</v>
      </c>
      <c r="L2" s="11"/>
    </row>
    <row r="3" spans="1:12" x14ac:dyDescent="0.35">
      <c r="A3" t="s">
        <v>3</v>
      </c>
      <c r="B3" s="1">
        <v>12345</v>
      </c>
      <c r="C3" s="7">
        <v>45151.525833333333</v>
      </c>
      <c r="E3" t="s">
        <v>8</v>
      </c>
      <c r="F3" t="s">
        <v>8</v>
      </c>
      <c r="G3" s="7">
        <v>45161.63853009259</v>
      </c>
      <c r="L3" s="11"/>
    </row>
    <row r="4" spans="1:12" x14ac:dyDescent="0.35">
      <c r="A4" t="s">
        <v>4</v>
      </c>
      <c r="B4" s="1">
        <v>12345</v>
      </c>
      <c r="C4" s="7">
        <v>45151.512731481482</v>
      </c>
      <c r="L4" s="11"/>
    </row>
    <row r="5" spans="1:12" x14ac:dyDescent="0.35">
      <c r="A5" t="s">
        <v>5</v>
      </c>
      <c r="B5" s="1">
        <v>7890</v>
      </c>
    </row>
    <row r="6" spans="1:12" x14ac:dyDescent="0.35">
      <c r="A6" t="s">
        <v>6</v>
      </c>
      <c r="B6" s="1">
        <v>12345</v>
      </c>
    </row>
  </sheetData>
  <pageMargins left="0.7" right="0.7" top="0.75" bottom="0.75" header="0.3" footer="0.3"/>
  <pageSetup orientation="portrait"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9"/>
  <sheetViews>
    <sheetView workbookViewId="0">
      <selection activeCell="E3" sqref="E3"/>
    </sheetView>
  </sheetViews>
  <sheetFormatPr defaultRowHeight="14.5" x14ac:dyDescent="0.35"/>
  <cols>
    <col min="1" max="1" width="16.7265625" bestFit="1" customWidth="1"/>
    <col min="2" max="9" width="10.26953125" bestFit="1" customWidth="1"/>
  </cols>
  <sheetData>
    <row r="1" spans="1:9" x14ac:dyDescent="0.35">
      <c r="A1" t="s">
        <v>9</v>
      </c>
      <c r="B1" s="3" t="s">
        <v>15</v>
      </c>
      <c r="C1" s="3" t="s">
        <v>16</v>
      </c>
      <c r="D1" s="3" t="s">
        <v>17</v>
      </c>
      <c r="E1" s="3" t="s">
        <v>18</v>
      </c>
      <c r="F1" s="3" t="s">
        <v>19</v>
      </c>
      <c r="G1" s="3" t="s">
        <v>20</v>
      </c>
      <c r="H1" s="3" t="s">
        <v>95</v>
      </c>
      <c r="I1" s="3" t="s">
        <v>96</v>
      </c>
    </row>
    <row r="2" spans="1:9" x14ac:dyDescent="0.35">
      <c r="A2" t="str">
        <f>RawData[[#This Row],[Candidates]]</f>
        <v>Aiyam</v>
      </c>
      <c r="B2" t="s">
        <v>21</v>
      </c>
      <c r="C2" t="s">
        <v>21</v>
      </c>
      <c r="D2" t="s">
        <v>21</v>
      </c>
      <c r="E2" t="s">
        <v>21</v>
      </c>
      <c r="F2" t="s">
        <v>21</v>
      </c>
      <c r="G2" t="s">
        <v>21</v>
      </c>
      <c r="H2" t="s">
        <v>21</v>
      </c>
      <c r="I2" t="s">
        <v>21</v>
      </c>
    </row>
    <row r="3" spans="1:9" x14ac:dyDescent="0.35">
      <c r="A3" t="str">
        <f>RawData[[#This Row],[Candidates]]</f>
        <v>Sana</v>
      </c>
      <c r="B3" t="s">
        <v>21</v>
      </c>
      <c r="C3" t="s">
        <v>21</v>
      </c>
      <c r="D3" t="s">
        <v>21</v>
      </c>
      <c r="E3" t="s">
        <v>22</v>
      </c>
      <c r="F3" t="s">
        <v>21</v>
      </c>
      <c r="G3" t="s">
        <v>21</v>
      </c>
      <c r="H3" t="s">
        <v>21</v>
      </c>
      <c r="I3" t="s">
        <v>22</v>
      </c>
    </row>
    <row r="4" spans="1:9" x14ac:dyDescent="0.35">
      <c r="A4" t="str">
        <f>RawData[[#This Row],[Candidates]]</f>
        <v>Rehan</v>
      </c>
      <c r="B4" t="s">
        <v>21</v>
      </c>
      <c r="C4" t="s">
        <v>21</v>
      </c>
      <c r="D4" t="s">
        <v>22</v>
      </c>
      <c r="E4" t="s">
        <v>21</v>
      </c>
      <c r="F4" t="s">
        <v>21</v>
      </c>
      <c r="G4" t="s">
        <v>21</v>
      </c>
      <c r="H4" t="s">
        <v>21</v>
      </c>
      <c r="I4" t="s">
        <v>21</v>
      </c>
    </row>
    <row r="5" spans="1:9" x14ac:dyDescent="0.35">
      <c r="A5" t="str">
        <f>RawData[[#This Row],[Candidates]]</f>
        <v>Rohith</v>
      </c>
      <c r="B5" t="s">
        <v>22</v>
      </c>
      <c r="C5" t="s">
        <v>21</v>
      </c>
      <c r="D5" t="s">
        <v>22</v>
      </c>
      <c r="E5" t="s">
        <v>21</v>
      </c>
      <c r="F5" t="s">
        <v>22</v>
      </c>
      <c r="G5" t="s">
        <v>21</v>
      </c>
      <c r="H5" t="s">
        <v>21</v>
      </c>
      <c r="I5" t="s">
        <v>21</v>
      </c>
    </row>
    <row r="6" spans="1:9" x14ac:dyDescent="0.35">
      <c r="A6" t="str">
        <f>RawData[[#This Row],[Candidates]]</f>
        <v>Madhav krishna</v>
      </c>
      <c r="B6" t="s">
        <v>21</v>
      </c>
      <c r="C6" t="s">
        <v>21</v>
      </c>
      <c r="D6" t="s">
        <v>21</v>
      </c>
      <c r="E6" t="s">
        <v>22</v>
      </c>
      <c r="F6" t="s">
        <v>21</v>
      </c>
      <c r="G6" t="s">
        <v>21</v>
      </c>
      <c r="H6" t="s">
        <v>21</v>
      </c>
      <c r="I6" t="s">
        <v>21</v>
      </c>
    </row>
    <row r="7" spans="1:9" x14ac:dyDescent="0.35">
      <c r="A7" t="str">
        <f>RawData[[#This Row],[Candidates]]</f>
        <v>Manisha</v>
      </c>
      <c r="B7" t="s">
        <v>22</v>
      </c>
      <c r="C7" t="s">
        <v>22</v>
      </c>
      <c r="D7" t="s">
        <v>21</v>
      </c>
      <c r="E7" t="s">
        <v>21</v>
      </c>
      <c r="F7" t="s">
        <v>21</v>
      </c>
      <c r="G7" t="s">
        <v>21</v>
      </c>
      <c r="H7" t="s">
        <v>22</v>
      </c>
      <c r="I7" t="s">
        <v>21</v>
      </c>
    </row>
    <row r="8" spans="1:9" x14ac:dyDescent="0.35">
      <c r="A8" t="str">
        <f>RawData[[#This Row],[Candidates]]</f>
        <v>Karthick Pranav</v>
      </c>
      <c r="B8" t="s">
        <v>21</v>
      </c>
      <c r="C8" t="s">
        <v>21</v>
      </c>
      <c r="D8" t="s">
        <v>22</v>
      </c>
      <c r="E8" t="s">
        <v>21</v>
      </c>
      <c r="F8" t="s">
        <v>21</v>
      </c>
      <c r="G8" t="s">
        <v>21</v>
      </c>
      <c r="H8" t="s">
        <v>21</v>
      </c>
      <c r="I8" t="s">
        <v>21</v>
      </c>
    </row>
    <row r="9" spans="1:9" x14ac:dyDescent="0.35">
      <c r="A9" t="str">
        <f>RawData[[#This Row],[Candidates]]</f>
        <v>Hariharan</v>
      </c>
      <c r="B9" t="s">
        <v>22</v>
      </c>
      <c r="C9" t="s">
        <v>22</v>
      </c>
      <c r="D9" t="s">
        <v>22</v>
      </c>
      <c r="E9" t="s">
        <v>22</v>
      </c>
      <c r="F9" t="s">
        <v>21</v>
      </c>
      <c r="G9" t="s">
        <v>21</v>
      </c>
      <c r="H9" t="s">
        <v>21</v>
      </c>
      <c r="I9" t="s">
        <v>22</v>
      </c>
    </row>
  </sheetData>
  <dataValidations count="1">
    <dataValidation type="list" allowBlank="1" showInputMessage="1" showErrorMessage="1" sqref="B2:I9">
      <formula1>"Present,Absent"</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9"/>
  <sheetViews>
    <sheetView workbookViewId="0">
      <selection activeCell="E9" sqref="E9"/>
    </sheetView>
  </sheetViews>
  <sheetFormatPr defaultRowHeight="14.5" x14ac:dyDescent="0.35"/>
  <cols>
    <col min="1" max="1" width="17.1796875" bestFit="1" customWidth="1"/>
    <col min="2" max="2" width="11.81640625" style="6" bestFit="1" customWidth="1"/>
    <col min="3" max="3" width="20.90625" bestFit="1" customWidth="1"/>
    <col min="4" max="4" width="18.54296875" bestFit="1" customWidth="1"/>
    <col min="5" max="5" width="22.36328125" bestFit="1" customWidth="1"/>
    <col min="6" max="6" width="14.26953125" customWidth="1"/>
    <col min="10" max="10" width="10.08984375" bestFit="1" customWidth="1"/>
  </cols>
  <sheetData>
    <row r="1" spans="1:11" x14ac:dyDescent="0.35">
      <c r="A1" t="s">
        <v>26</v>
      </c>
      <c r="B1" s="6" t="s">
        <v>28</v>
      </c>
      <c r="C1" t="s">
        <v>29</v>
      </c>
      <c r="D1" t="s">
        <v>46</v>
      </c>
      <c r="E1" t="s">
        <v>94</v>
      </c>
      <c r="K1" s="5"/>
    </row>
    <row r="2" spans="1:11" x14ac:dyDescent="0.35">
      <c r="A2" t="str">
        <f>RawData!A:A</f>
        <v>Aiyam</v>
      </c>
      <c r="B2" t="s">
        <v>30</v>
      </c>
      <c r="C2" t="s">
        <v>30</v>
      </c>
      <c r="D2" t="s">
        <v>30</v>
      </c>
      <c r="E2" t="s">
        <v>30</v>
      </c>
    </row>
    <row r="3" spans="1:11" x14ac:dyDescent="0.35">
      <c r="A3" t="str">
        <f>RawData!A:A</f>
        <v>Sana</v>
      </c>
      <c r="B3" t="s">
        <v>30</v>
      </c>
      <c r="C3" t="s">
        <v>30</v>
      </c>
      <c r="D3" t="s">
        <v>31</v>
      </c>
      <c r="E3" t="s">
        <v>31</v>
      </c>
    </row>
    <row r="4" spans="1:11" x14ac:dyDescent="0.35">
      <c r="A4" t="str">
        <f>RawData!A:A</f>
        <v>Rehan</v>
      </c>
      <c r="B4" t="s">
        <v>30</v>
      </c>
      <c r="C4" t="s">
        <v>30</v>
      </c>
      <c r="D4" t="s">
        <v>31</v>
      </c>
      <c r="E4" t="s">
        <v>30</v>
      </c>
    </row>
    <row r="5" spans="1:11" x14ac:dyDescent="0.35">
      <c r="A5" t="str">
        <f>RawData!A:A</f>
        <v>Rohith</v>
      </c>
      <c r="B5" t="s">
        <v>30</v>
      </c>
      <c r="C5" t="s">
        <v>31</v>
      </c>
      <c r="D5" t="s">
        <v>31</v>
      </c>
      <c r="E5" t="s">
        <v>31</v>
      </c>
    </row>
    <row r="6" spans="1:11" x14ac:dyDescent="0.35">
      <c r="A6" t="str">
        <f>RawData!A:A</f>
        <v>Madhav krishna</v>
      </c>
      <c r="B6" t="s">
        <v>30</v>
      </c>
      <c r="C6" t="s">
        <v>30</v>
      </c>
      <c r="D6" t="s">
        <v>31</v>
      </c>
      <c r="E6" t="s">
        <v>30</v>
      </c>
    </row>
    <row r="7" spans="1:11" x14ac:dyDescent="0.35">
      <c r="A7" t="str">
        <f>RawData!A:A</f>
        <v>Manisha</v>
      </c>
      <c r="B7" t="s">
        <v>30</v>
      </c>
      <c r="C7" t="s">
        <v>30</v>
      </c>
      <c r="D7" t="s">
        <v>31</v>
      </c>
      <c r="E7" t="s">
        <v>31</v>
      </c>
    </row>
    <row r="8" spans="1:11" x14ac:dyDescent="0.35">
      <c r="A8" t="str">
        <f>RawData!A:A</f>
        <v>Karthick Pranav</v>
      </c>
      <c r="B8" t="s">
        <v>30</v>
      </c>
      <c r="C8" t="s">
        <v>30</v>
      </c>
      <c r="D8" t="s">
        <v>31</v>
      </c>
      <c r="E8" t="s">
        <v>30</v>
      </c>
    </row>
    <row r="9" spans="1:11" x14ac:dyDescent="0.35">
      <c r="A9" t="str">
        <f>RawData!A:A</f>
        <v>Hariharan</v>
      </c>
      <c r="B9" t="s">
        <v>30</v>
      </c>
      <c r="C9" t="s">
        <v>31</v>
      </c>
      <c r="D9" t="s">
        <v>31</v>
      </c>
      <c r="E9" t="s">
        <v>31</v>
      </c>
    </row>
  </sheetData>
  <sheetProtection selectLockedCells="1" selectUnlockedCells="1"/>
  <dataValidations count="2">
    <dataValidation type="list" allowBlank="1" showInputMessage="1" showErrorMessage="1" sqref="B2:E9">
      <formula1>"Not Completed , Completed"</formula1>
    </dataValidation>
    <dataValidation type="custom" allowBlank="1" showInputMessage="1" showErrorMessage="1" sqref="B1 B10:B1048576">
      <formula1>TODAY() &lt;= $K$1</formula1>
    </dataValidation>
  </dataValidations>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9"/>
  <sheetViews>
    <sheetView workbookViewId="0">
      <selection activeCell="C5" sqref="C5"/>
    </sheetView>
  </sheetViews>
  <sheetFormatPr defaultRowHeight="14.5" x14ac:dyDescent="0.35"/>
  <cols>
    <col min="1" max="1" width="14.26953125" bestFit="1" customWidth="1"/>
    <col min="2" max="2" width="11.81640625" bestFit="1" customWidth="1"/>
    <col min="3" max="3" width="20.90625" bestFit="1" customWidth="1"/>
    <col min="4" max="4" width="18.54296875" bestFit="1" customWidth="1"/>
    <col min="5" max="5" width="22.36328125" bestFit="1" customWidth="1"/>
  </cols>
  <sheetData>
    <row r="1" spans="1:5" x14ac:dyDescent="0.35">
      <c r="A1" t="s">
        <v>10</v>
      </c>
      <c r="B1" t="s">
        <v>28</v>
      </c>
      <c r="C1" t="s">
        <v>29</v>
      </c>
      <c r="D1" t="s">
        <v>46</v>
      </c>
      <c r="E1" t="s">
        <v>94</v>
      </c>
    </row>
    <row r="2" spans="1:5" x14ac:dyDescent="0.35">
      <c r="A2" t="str">
        <f>RawData!A:A</f>
        <v>Aiyam</v>
      </c>
      <c r="B2">
        <f>IF(Tasks!B:B="Completed",Task_Credits!B$2,0)</f>
        <v>120</v>
      </c>
      <c r="C2">
        <f>IF(Tasks!C:C="Completed",Task_Credits!C$2,0)</f>
        <v>150</v>
      </c>
      <c r="D2">
        <f>IF(Tasks!D:D="Completed",Task_Credits!D$2,0)</f>
        <v>100</v>
      </c>
      <c r="E2">
        <f>IF(Tasks!E:E="Completed",Task_Credits!E$2,0)</f>
        <v>100</v>
      </c>
    </row>
    <row r="3" spans="1:5" x14ac:dyDescent="0.35">
      <c r="A3" t="str">
        <f>RawData!A:A</f>
        <v>Sana</v>
      </c>
      <c r="B3">
        <f>IF(Tasks!B:B="Completed",Task_Credits!B$2,0)</f>
        <v>120</v>
      </c>
      <c r="C3">
        <f>IF(Tasks!C:C="Completed",Task_Credits!C$2,0)</f>
        <v>150</v>
      </c>
      <c r="D3">
        <f>IF(Tasks!D:D="Completed",Task_Credits!D$2,0)</f>
        <v>0</v>
      </c>
      <c r="E3">
        <f>IF(Tasks!E:E="Completed",Task_Credits!E$2,0)</f>
        <v>0</v>
      </c>
    </row>
    <row r="4" spans="1:5" x14ac:dyDescent="0.35">
      <c r="A4" t="str">
        <f>RawData!A:A</f>
        <v>Rehan</v>
      </c>
      <c r="B4">
        <f>IF(Tasks!B:B="Completed",Task_Credits!B$2,0)</f>
        <v>120</v>
      </c>
      <c r="C4">
        <f>IF(Tasks!C:C="Completed",Task_Credits!C$2,0)</f>
        <v>150</v>
      </c>
      <c r="D4">
        <f>IF(Tasks!D:D="Completed",Task_Credits!D$2,0)</f>
        <v>0</v>
      </c>
      <c r="E4">
        <f>IF(Tasks!E:E="Completed",Task_Credits!E$2,0)</f>
        <v>100</v>
      </c>
    </row>
    <row r="5" spans="1:5" x14ac:dyDescent="0.35">
      <c r="A5" t="str">
        <f>RawData!A:A</f>
        <v>Rohith</v>
      </c>
      <c r="B5">
        <f>IF(Tasks!B:B="Completed",Task_Credits!B$2,0)</f>
        <v>120</v>
      </c>
      <c r="C5">
        <f>IF(Tasks!C:C="Completed",Task_Credits!C$2,0)</f>
        <v>0</v>
      </c>
      <c r="D5">
        <f>IF(Tasks!D:D="Completed",Task_Credits!D$2,0)</f>
        <v>0</v>
      </c>
      <c r="E5">
        <f>IF(Tasks!E:E="Completed",Task_Credits!E$2,0)</f>
        <v>0</v>
      </c>
    </row>
    <row r="6" spans="1:5" x14ac:dyDescent="0.35">
      <c r="A6" t="str">
        <f>RawData!A:A</f>
        <v>Madhav krishna</v>
      </c>
      <c r="B6">
        <f>IF(Tasks!B:B="Completed",Task_Credits!B$2,0)</f>
        <v>120</v>
      </c>
      <c r="C6">
        <f>IF(Tasks!C:C="Completed",Task_Credits!C$2,0)</f>
        <v>150</v>
      </c>
      <c r="D6">
        <f>IF(Tasks!D:D="Completed",Task_Credits!D$2,0)</f>
        <v>0</v>
      </c>
      <c r="E6">
        <f>IF(Tasks!E:E="Completed",Task_Credits!E$2,0)</f>
        <v>100</v>
      </c>
    </row>
    <row r="7" spans="1:5" x14ac:dyDescent="0.35">
      <c r="A7" t="str">
        <f>RawData!A:A</f>
        <v>Manisha</v>
      </c>
      <c r="B7">
        <f>IF(Tasks!B:B="Completed",Task_Credits!B$2,0)</f>
        <v>120</v>
      </c>
      <c r="C7">
        <f>IF(Tasks!C:C="Completed",Task_Credits!C$2,0)</f>
        <v>150</v>
      </c>
      <c r="D7">
        <f>IF(Tasks!D:D="Completed",Task_Credits!D$2,0)</f>
        <v>0</v>
      </c>
      <c r="E7">
        <f>IF(Tasks!E:E="Completed",Task_Credits!E$2,0)</f>
        <v>0</v>
      </c>
    </row>
    <row r="8" spans="1:5" x14ac:dyDescent="0.35">
      <c r="A8" t="str">
        <f>RawData!A:A</f>
        <v>Karthick Pranav</v>
      </c>
      <c r="B8">
        <f>IF(Tasks!B:B="Completed",Task_Credits!B$2,0)</f>
        <v>120</v>
      </c>
      <c r="C8">
        <f>IF(Tasks!C:C="Completed",Task_Credits!C$2,0)</f>
        <v>150</v>
      </c>
      <c r="D8">
        <f>IF(Tasks!D:D="Completed",Task_Credits!D$2,0)</f>
        <v>0</v>
      </c>
      <c r="E8">
        <f>IF(Tasks!E:E="Completed",Task_Credits!E$2,0)</f>
        <v>100</v>
      </c>
    </row>
    <row r="9" spans="1:5" x14ac:dyDescent="0.35">
      <c r="A9" t="str">
        <f>RawData!A:A</f>
        <v>Hariharan</v>
      </c>
      <c r="B9">
        <f>IF(Tasks!B:B="Completed",Task_Credits!B$2,0)</f>
        <v>120</v>
      </c>
      <c r="C9">
        <f>IF(Tasks!C:C="Completed",Task_Credits!C$2,0)</f>
        <v>0</v>
      </c>
      <c r="D9">
        <f>IF(Tasks!D:D="Completed",Task_Credits!D$2,0)</f>
        <v>0</v>
      </c>
      <c r="E9">
        <f>IF(Tasks!E:E="Completed",Task_Credits!E$2,0)</f>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6"/>
  <sheetViews>
    <sheetView workbookViewId="0">
      <selection activeCell="F6" sqref="F6"/>
    </sheetView>
  </sheetViews>
  <sheetFormatPr defaultRowHeight="14.5" x14ac:dyDescent="0.35"/>
  <cols>
    <col min="1" max="1" width="10.54296875" bestFit="1" customWidth="1"/>
    <col min="2" max="2" width="11.81640625" bestFit="1" customWidth="1"/>
    <col min="3" max="3" width="20.90625" bestFit="1" customWidth="1"/>
    <col min="4" max="4" width="18.54296875" bestFit="1" customWidth="1"/>
    <col min="5" max="5" width="22.36328125" bestFit="1" customWidth="1"/>
  </cols>
  <sheetData>
    <row r="1" spans="1:5" x14ac:dyDescent="0.35">
      <c r="A1" t="s">
        <v>41</v>
      </c>
      <c r="B1" t="s">
        <v>28</v>
      </c>
      <c r="C1" t="s">
        <v>29</v>
      </c>
      <c r="D1" t="s">
        <v>46</v>
      </c>
      <c r="E1" t="s">
        <v>94</v>
      </c>
    </row>
    <row r="2" spans="1:5" x14ac:dyDescent="0.35">
      <c r="A2" t="s">
        <v>40</v>
      </c>
      <c r="B2">
        <v>120</v>
      </c>
      <c r="C2">
        <v>150</v>
      </c>
      <c r="D2">
        <v>100</v>
      </c>
      <c r="E2">
        <v>100</v>
      </c>
    </row>
    <row r="6" spans="1:5" x14ac:dyDescent="0.35">
      <c r="B6" s="8" t="s">
        <v>42</v>
      </c>
      <c r="C6">
        <f>SUM(B2:Z2)</f>
        <v>470</v>
      </c>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autoPageBreaks="0"/>
  </sheetPr>
  <dimension ref="C5:AC26"/>
  <sheetViews>
    <sheetView showGridLines="0" zoomScale="70" zoomScaleNormal="70" workbookViewId="0">
      <selection activeCell="I20" sqref="I20:M20"/>
    </sheetView>
  </sheetViews>
  <sheetFormatPr defaultRowHeight="14.5" x14ac:dyDescent="0.35"/>
  <cols>
    <col min="1" max="1" width="14.7265625" style="12" customWidth="1"/>
    <col min="2" max="2" width="8.7265625" style="12"/>
    <col min="3" max="3" width="11.6328125" style="12" bestFit="1" customWidth="1"/>
    <col min="4" max="4" width="8.7265625" style="12" customWidth="1"/>
    <col min="5" max="5" width="13.36328125" style="12" customWidth="1"/>
    <col min="6" max="6" width="22.81640625" style="12" customWidth="1"/>
    <col min="7" max="7" width="8.7265625" style="12"/>
    <col min="8" max="8" width="11.7265625" style="12" customWidth="1"/>
    <col min="9" max="9" width="8.7265625" style="12"/>
    <col min="10" max="10" width="5.6328125" style="12" bestFit="1" customWidth="1"/>
    <col min="11" max="12" width="8.7265625" style="12"/>
    <col min="13" max="13" width="13.81640625" style="12" customWidth="1"/>
    <col min="14" max="15" width="8.7265625" style="12"/>
    <col min="16" max="16" width="27.7265625" style="12" customWidth="1"/>
    <col min="17" max="17" width="12.90625" style="12" customWidth="1"/>
    <col min="18" max="18" width="10.54296875" style="12" customWidth="1"/>
    <col min="19" max="19" width="22.08984375" style="12" customWidth="1"/>
    <col min="20" max="20" width="11.26953125" style="12" customWidth="1"/>
    <col min="21" max="22" width="8.7265625" style="12"/>
    <col min="23" max="23" width="8.7265625" style="12" customWidth="1"/>
    <col min="24" max="24" width="8.7265625" style="12"/>
    <col min="25" max="25" width="38.36328125" style="12" customWidth="1"/>
    <col min="26" max="28" width="8.7265625" style="12"/>
    <col min="29" max="29" width="17.7265625" style="12" customWidth="1"/>
    <col min="30" max="16384" width="8.7265625" style="12"/>
  </cols>
  <sheetData>
    <row r="5" spans="3:29" ht="15" thickBot="1" x14ac:dyDescent="0.4"/>
    <row r="6" spans="3:29" ht="29.5" thickBot="1" x14ac:dyDescent="0.4">
      <c r="C6" s="26" t="s">
        <v>2</v>
      </c>
      <c r="E6" s="13" t="s">
        <v>54</v>
      </c>
      <c r="F6" s="13"/>
    </row>
    <row r="7" spans="3:29" ht="16" customHeight="1" thickBot="1" x14ac:dyDescent="0.4">
      <c r="O7" s="44" t="str">
        <f>HYPERLINK(INDEX(RawData!O:O,MATCH(Cand_Dashboard!$C$6,RawData!A:A,0)))</f>
        <v>https://github.com/AiyamPerumal0404</v>
      </c>
      <c r="P7" s="44"/>
      <c r="Q7" s="44"/>
      <c r="R7" s="44"/>
    </row>
    <row r="8" spans="3:29" ht="24" thickBot="1" x14ac:dyDescent="0.5">
      <c r="G8" s="28">
        <f>INDEX(RawData!H:H,MATCH(Cand_Dashboard!$C$6,RawData!A:A,0))</f>
        <v>4</v>
      </c>
      <c r="J8" s="42">
        <f>INDEX(RawData!K:K,MATCH(Cand_Dashboard!$C$6,RawData!A:A,0))</f>
        <v>470</v>
      </c>
      <c r="O8" s="44"/>
      <c r="P8" s="44"/>
      <c r="Q8" s="44"/>
      <c r="R8" s="55"/>
      <c r="S8" s="32" t="str">
        <f>INDEX(RawData!$A2:$A9,MATCH(Cand_Dashboard!T8,RawData!$K$2:$K$9,0),0)</f>
        <v>Aiyam</v>
      </c>
      <c r="T8" s="32">
        <f>LARGE(RawData!K:K,ROWS(RawData!K$2:K2))</f>
        <v>470</v>
      </c>
      <c r="Y8" s="30" t="str">
        <f>INDEX(Profile!B:B,MATCH(Cand_Dashboard!$C$6,Profile!A:A,0))</f>
        <v>Male</v>
      </c>
    </row>
    <row r="9" spans="3:29" ht="21.5" thickBot="1" x14ac:dyDescent="0.4">
      <c r="C9" s="42">
        <f>INDEX(RawData!B:B,MATCH(Cand_Dashboard!$C$6,RawData!A:A,0))</f>
        <v>8</v>
      </c>
      <c r="E9" s="27">
        <f>INDEX(RawData!E:E,MATCH(Cand_Dashboard!$C$6,RawData!A:A,0))</f>
        <v>1</v>
      </c>
      <c r="J9" s="43"/>
      <c r="L9" s="45" t="str">
        <f>INDEX(RawData!M:M,MATCH(Cand_Dashboard!$C$6,RawData!A:A,0))</f>
        <v>★★★★★</v>
      </c>
      <c r="M9" s="45"/>
      <c r="S9" s="32" t="str">
        <f>INDEX(RawData!$A3:$A10,MATCH(Cand_Dashboard!T9,RawData!$K$2:$K$9,0),0)</f>
        <v>Rohith</v>
      </c>
      <c r="T9" s="32">
        <f>LARGE(RawData!K:K,ROWS(RawData!K$2:K3))</f>
        <v>370</v>
      </c>
      <c r="Y9" s="25"/>
    </row>
    <row r="10" spans="3:29" ht="21.5" thickBot="1" x14ac:dyDescent="0.5">
      <c r="C10" s="43"/>
      <c r="L10" s="14"/>
      <c r="M10" s="15"/>
      <c r="S10" s="32" t="str">
        <f>INDEX(RawData!$A4:$A11,MATCH(Cand_Dashboard!T10,RawData!$K$2:$K$9,0),0)</f>
        <v>Madhav krishna</v>
      </c>
      <c r="T10" s="32">
        <f>LARGE(RawData!K:K,ROWS(RawData!K$2:K4))</f>
        <v>370</v>
      </c>
      <c r="Y10" s="30" t="str">
        <f>INDEX(Profile!C:C,MATCH(Cand_Dashboard!$C$6,Profile!A:A,0))</f>
        <v>B.E</v>
      </c>
    </row>
    <row r="11" spans="3:29" ht="21.5" thickBot="1" x14ac:dyDescent="0.55000000000000004">
      <c r="G11" s="42">
        <f>INDEX(RawData!F:F,MATCH(Cand_Dashboard!$C$6,RawData!A:A,0))</f>
        <v>4</v>
      </c>
      <c r="O11" s="57" t="str">
        <f>IF(INDEX(Profile!Q:Q,MATCH(Cand_Dashboard!$C$6,Profile!A:A,0))="","",INDEX(Profile!Q:Q,MATCH(Cand_Dashboard!$C$6,Profile!A:A,0)))</f>
        <v>Adobe</v>
      </c>
      <c r="P11" s="57"/>
      <c r="AC11" s="31" t="str">
        <f>INDEX(Profile!G:G,MATCH(Cand_Dashboard!$C$6,Profile!A:A,0))</f>
        <v>Working</v>
      </c>
    </row>
    <row r="12" spans="3:29" ht="21.5" thickBot="1" x14ac:dyDescent="0.4">
      <c r="F12" s="16"/>
      <c r="G12" s="43"/>
      <c r="O12" s="58"/>
      <c r="P12" s="58"/>
      <c r="Y12" s="49" t="str">
        <f>INDEX(Profile!D:D,MATCH(Cand_Dashboard!$C$6,Profile!A:A,0))</f>
        <v>Veltect Engg College</v>
      </c>
    </row>
    <row r="13" spans="3:29" ht="15" thickBot="1" x14ac:dyDescent="0.4">
      <c r="C13" s="42">
        <f>INDEX(RawData!C:C,MATCH(Cand_Dashboard!$C$6,RawData!A:A,0))</f>
        <v>0</v>
      </c>
      <c r="E13" s="46">
        <f>INDEX(RawData!I:I,MATCH(Cand_Dashboard!$C$6,RawData!A:A,0))</f>
        <v>12500</v>
      </c>
      <c r="F13" s="17"/>
      <c r="Y13" s="50"/>
    </row>
    <row r="14" spans="3:29" ht="21.5" customHeight="1" thickBot="1" x14ac:dyDescent="0.55000000000000004">
      <c r="C14" s="43"/>
      <c r="E14" s="46"/>
      <c r="J14" s="42">
        <f>INDEX(RawData!L:L,MATCH(Cand_Dashboard!$C$6,RawData!A:A,0))</f>
        <v>470</v>
      </c>
      <c r="S14" s="56" t="str">
        <f>INDEX(RawData!A:A,MATCH(Cand_Dashboard!$U$14,RawData!P:P,0))</f>
        <v>Aiyam</v>
      </c>
      <c r="T14" s="56"/>
      <c r="U14" s="18">
        <f>LARGE(RawData!P:P,1)</f>
        <v>2</v>
      </c>
      <c r="AC14" s="53" t="str">
        <f>IF(INDEX(Profile!H:H,MATCH(Cand_Dashboard!$C$6,Profile!A:A,0))="","",INDEX(Profile!H:H,MATCH(Cand_Dashboard!$C$6,Profile!A:A,0)))</f>
        <v>Mphasis</v>
      </c>
    </row>
    <row r="15" spans="3:29" ht="19" thickBot="1" x14ac:dyDescent="0.5">
      <c r="J15" s="43"/>
      <c r="S15" s="52"/>
      <c r="T15" s="52"/>
      <c r="Y15" s="30">
        <f>INDEX(Profile!E:E,MATCH(Cand_Dashboard!$C$6,Profile!A:A,0))</f>
        <v>2021</v>
      </c>
      <c r="AC15" s="54"/>
    </row>
    <row r="16" spans="3:29" ht="21.5" thickBot="1" x14ac:dyDescent="0.5">
      <c r="E16" s="19"/>
      <c r="G16" s="29">
        <f>INDEX(RawData!G:G,MATCH(Cand_Dashboard!$C$6,RawData!A:A,0))</f>
        <v>0</v>
      </c>
      <c r="O16" s="57" t="str">
        <f>IF(INDEX(Profile!N:N,MATCH(Cand_Dashboard!$C$6,Profile!A:A,0))="","",INDEX(Profile!N:N,MATCH(Cand_Dashboard!$C$6,Profile!A:A,0)))</f>
        <v>Candidate Activity Tracker</v>
      </c>
      <c r="P16" s="57"/>
    </row>
    <row r="17" spans="3:25" ht="14.5" customHeight="1" x14ac:dyDescent="0.35">
      <c r="C17" s="42">
        <f>INDEX(RawData!D:D,MATCH(Cand_Dashboard!$C$6,RawData!A:A,0))</f>
        <v>8</v>
      </c>
      <c r="G17" s="20"/>
      <c r="O17" s="52"/>
      <c r="P17" s="52"/>
      <c r="Y17" s="47" t="str">
        <f>IF(INDEX(Profile!F:F,MATCH(Cand_Dashboard!$C$6,Profile!A:A,0))="","",INDEX(Profile!F:F,MATCH(Cand_Dashboard!$C$6,Profile!A:A,0)))</f>
        <v>Computer Science</v>
      </c>
    </row>
    <row r="18" spans="3:25" ht="14.5" customHeight="1" thickBot="1" x14ac:dyDescent="0.4">
      <c r="C18" s="43"/>
      <c r="E18" s="46">
        <f>INDEX(RawData!J:J,MATCH(Cand_Dashboard!$C$6,RawData!A:A,0))</f>
        <v>0</v>
      </c>
      <c r="O18" s="51"/>
      <c r="P18" s="51"/>
      <c r="Y18" s="48"/>
    </row>
    <row r="19" spans="3:25" x14ac:dyDescent="0.35">
      <c r="E19" s="46"/>
    </row>
    <row r="20" spans="3:25" ht="18.5" thickBot="1" x14ac:dyDescent="0.55000000000000004">
      <c r="I20" s="59" t="str">
        <f>INDEX(RawData!N:N,MATCH(Cand_Dashboard!$C$6,RawData!A:A,0))</f>
        <v>MySql,Python,PowerBi,GitHub</v>
      </c>
      <c r="J20" s="59"/>
      <c r="K20" s="59"/>
      <c r="L20" s="59"/>
      <c r="M20" s="59"/>
      <c r="Y20" s="25"/>
    </row>
    <row r="21" spans="3:25" ht="18.5" x14ac:dyDescent="0.45">
      <c r="O21" s="57" t="str">
        <f>IF(INDEX(Profile!O:O,MATCH(Cand_Dashboard!$C$6,Profile!A:A,0))="","",INDEX(Profile!O:O,MATCH(Cand_Dashboard!$C$6,Profile!A:A,0)))</f>
        <v>Management</v>
      </c>
      <c r="P21" s="57"/>
      <c r="Y21" s="41" t="str">
        <f>IF(INDEX(Profile!I:I,MATCH(Cand_Dashboard!$C$6,Profile!A:A,0))="","",INDEX(Profile!I:I,MATCH(Cand_Dashboard!$C$6,Profile!A:A,0)))</f>
        <v>aiyamperumal1999@gmail.com</v>
      </c>
    </row>
    <row r="22" spans="3:25" ht="15" thickBot="1" x14ac:dyDescent="0.4">
      <c r="O22" s="58"/>
      <c r="P22" s="58"/>
      <c r="Y22" s="40"/>
    </row>
    <row r="26" spans="3:25" x14ac:dyDescent="0.35">
      <c r="V26" s="39"/>
    </row>
  </sheetData>
  <dataConsolidate/>
  <mergeCells count="24">
    <mergeCell ref="O21:P21"/>
    <mergeCell ref="O22:P22"/>
    <mergeCell ref="I20:M20"/>
    <mergeCell ref="O11:P11"/>
    <mergeCell ref="O12:P12"/>
    <mergeCell ref="AC14:AC15"/>
    <mergeCell ref="O8:R8"/>
    <mergeCell ref="S14:T14"/>
    <mergeCell ref="S15:T15"/>
    <mergeCell ref="O16:P16"/>
    <mergeCell ref="C17:C18"/>
    <mergeCell ref="G11:G12"/>
    <mergeCell ref="E13:E14"/>
    <mergeCell ref="E18:E19"/>
    <mergeCell ref="Y17:Y18"/>
    <mergeCell ref="Y12:Y13"/>
    <mergeCell ref="O18:P18"/>
    <mergeCell ref="O17:P17"/>
    <mergeCell ref="J8:J9"/>
    <mergeCell ref="J14:J15"/>
    <mergeCell ref="O7:R7"/>
    <mergeCell ref="L9:M9"/>
    <mergeCell ref="C9:C10"/>
    <mergeCell ref="C13:C1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RawData!$A$2:$A$19</xm:f>
          </x14:formula1>
          <xm:sqref>B1</xm:sqref>
        </x14:dataValidation>
        <x14:dataValidation type="list" allowBlank="1" showInputMessage="1" showErrorMessage="1">
          <x14:formula1>
            <xm:f>RawData!$A$2:$A9</xm:f>
          </x14:formula1>
          <xm:sqref>C6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9"/>
  <sheetViews>
    <sheetView workbookViewId="0">
      <selection activeCell="G12" sqref="G12"/>
    </sheetView>
  </sheetViews>
  <sheetFormatPr defaultRowHeight="14.5" x14ac:dyDescent="0.35"/>
  <cols>
    <col min="1" max="1" width="14.26953125" bestFit="1" customWidth="1"/>
    <col min="2" max="2" width="6.81640625" bestFit="1" customWidth="1"/>
    <col min="3" max="3" width="9" bestFit="1" customWidth="1"/>
    <col min="4" max="4" width="17.453125" bestFit="1" customWidth="1"/>
    <col min="5" max="5" width="14.7265625" bestFit="1" customWidth="1"/>
    <col min="6" max="6" width="15.81640625" bestFit="1" customWidth="1"/>
    <col min="7" max="7" width="11.90625" bestFit="1" customWidth="1"/>
    <col min="8" max="8" width="11" bestFit="1" customWidth="1"/>
    <col min="9" max="9" width="27.54296875" bestFit="1" customWidth="1"/>
    <col min="12" max="13" width="14.36328125" bestFit="1" customWidth="1"/>
    <col min="14" max="14" width="22.6328125" bestFit="1" customWidth="1"/>
    <col min="15" max="15" width="11.90625" bestFit="1" customWidth="1"/>
    <col min="16" max="16" width="18.6328125" bestFit="1" customWidth="1"/>
    <col min="17" max="17" width="19" bestFit="1" customWidth="1"/>
  </cols>
  <sheetData>
    <row r="1" spans="1:17" x14ac:dyDescent="0.35">
      <c r="A1" t="s">
        <v>10</v>
      </c>
      <c r="B1" t="s">
        <v>60</v>
      </c>
      <c r="C1" t="s">
        <v>61</v>
      </c>
      <c r="D1" t="s">
        <v>62</v>
      </c>
      <c r="E1" t="s">
        <v>65</v>
      </c>
      <c r="F1" t="s">
        <v>63</v>
      </c>
      <c r="G1" t="s">
        <v>64</v>
      </c>
      <c r="H1" t="s">
        <v>66</v>
      </c>
      <c r="I1" t="s">
        <v>99</v>
      </c>
      <c r="M1" t="s">
        <v>10</v>
      </c>
      <c r="N1" t="s">
        <v>86</v>
      </c>
      <c r="O1" t="s">
        <v>63</v>
      </c>
      <c r="P1" t="s">
        <v>87</v>
      </c>
      <c r="Q1" t="s">
        <v>91</v>
      </c>
    </row>
    <row r="2" spans="1:17" x14ac:dyDescent="0.35">
      <c r="A2" t="str">
        <f>RawData[[#This Row],[Candidates]]</f>
        <v>Aiyam</v>
      </c>
      <c r="B2" t="s">
        <v>67</v>
      </c>
      <c r="C2" t="s">
        <v>69</v>
      </c>
      <c r="D2" t="s">
        <v>93</v>
      </c>
      <c r="E2">
        <v>2021</v>
      </c>
      <c r="F2" t="s">
        <v>77</v>
      </c>
      <c r="G2" t="s">
        <v>80</v>
      </c>
      <c r="H2" t="s">
        <v>82</v>
      </c>
      <c r="I2" s="9" t="s">
        <v>103</v>
      </c>
      <c r="M2" s="24" t="str">
        <f>RawData[[#This Row],[Candidates]]</f>
        <v>Aiyam</v>
      </c>
      <c r="N2" t="s">
        <v>88</v>
      </c>
      <c r="O2" t="s">
        <v>89</v>
      </c>
      <c r="P2" s="23">
        <v>0.8</v>
      </c>
      <c r="Q2" t="s">
        <v>92</v>
      </c>
    </row>
    <row r="3" spans="1:17" x14ac:dyDescent="0.35">
      <c r="A3" t="str">
        <f>RawData[[#This Row],[Candidates]]</f>
        <v>Sana</v>
      </c>
      <c r="B3" t="s">
        <v>68</v>
      </c>
      <c r="C3" t="s">
        <v>70</v>
      </c>
      <c r="D3" t="s">
        <v>76</v>
      </c>
      <c r="E3">
        <v>2021</v>
      </c>
      <c r="G3" t="s">
        <v>80</v>
      </c>
      <c r="H3" t="s">
        <v>83</v>
      </c>
      <c r="I3" t="s">
        <v>52</v>
      </c>
      <c r="M3" s="24" t="str">
        <f>RawData[[#This Row],[Candidates]]</f>
        <v>Sana</v>
      </c>
      <c r="N3" t="s">
        <v>52</v>
      </c>
      <c r="O3" t="s">
        <v>90</v>
      </c>
      <c r="P3" s="23">
        <v>0.75</v>
      </c>
      <c r="Q3" t="s">
        <v>52</v>
      </c>
    </row>
    <row r="4" spans="1:17" x14ac:dyDescent="0.35">
      <c r="A4" t="str">
        <f>RawData[[#This Row],[Candidates]]</f>
        <v>Rehan</v>
      </c>
      <c r="B4" t="s">
        <v>67</v>
      </c>
      <c r="C4" t="s">
        <v>71</v>
      </c>
      <c r="D4" t="s">
        <v>76</v>
      </c>
      <c r="E4">
        <v>2018</v>
      </c>
      <c r="G4" t="s">
        <v>80</v>
      </c>
      <c r="H4" t="s">
        <v>83</v>
      </c>
      <c r="I4" t="s">
        <v>52</v>
      </c>
      <c r="M4" s="24" t="str">
        <f>RawData[[#This Row],[Candidates]]</f>
        <v>Rehan</v>
      </c>
      <c r="N4" t="s">
        <v>52</v>
      </c>
      <c r="O4" t="s">
        <v>52</v>
      </c>
      <c r="P4" t="s">
        <v>52</v>
      </c>
      <c r="Q4" t="s">
        <v>52</v>
      </c>
    </row>
    <row r="5" spans="1:17" x14ac:dyDescent="0.35">
      <c r="A5" t="str">
        <f>RawData[[#This Row],[Candidates]]</f>
        <v>Rohith</v>
      </c>
      <c r="B5" t="s">
        <v>67</v>
      </c>
      <c r="C5" t="s">
        <v>69</v>
      </c>
      <c r="D5" t="s">
        <v>76</v>
      </c>
      <c r="E5">
        <v>2022</v>
      </c>
      <c r="F5" t="s">
        <v>78</v>
      </c>
      <c r="G5" t="s">
        <v>81</v>
      </c>
      <c r="H5" t="s">
        <v>84</v>
      </c>
      <c r="I5" t="s">
        <v>52</v>
      </c>
      <c r="M5" s="24" t="str">
        <f>RawData[[#This Row],[Candidates]]</f>
        <v>Rohith</v>
      </c>
      <c r="N5" t="s">
        <v>52</v>
      </c>
      <c r="O5" t="s">
        <v>52</v>
      </c>
      <c r="P5" t="s">
        <v>52</v>
      </c>
      <c r="Q5" t="s">
        <v>52</v>
      </c>
    </row>
    <row r="6" spans="1:17" x14ac:dyDescent="0.35">
      <c r="A6" t="str">
        <f>RawData[[#This Row],[Candidates]]</f>
        <v>Madhav krishna</v>
      </c>
      <c r="B6" t="s">
        <v>67</v>
      </c>
      <c r="C6" t="s">
        <v>72</v>
      </c>
      <c r="D6" t="s">
        <v>76</v>
      </c>
      <c r="E6">
        <v>2021</v>
      </c>
      <c r="F6" t="s">
        <v>79</v>
      </c>
      <c r="G6" t="s">
        <v>80</v>
      </c>
      <c r="H6" t="s">
        <v>85</v>
      </c>
      <c r="I6" t="s">
        <v>52</v>
      </c>
      <c r="M6" s="24" t="str">
        <f>RawData[[#This Row],[Candidates]]</f>
        <v>Madhav krishna</v>
      </c>
      <c r="N6" t="s">
        <v>52</v>
      </c>
      <c r="O6" t="s">
        <v>52</v>
      </c>
      <c r="P6" t="s">
        <v>52</v>
      </c>
      <c r="Q6" t="s">
        <v>52</v>
      </c>
    </row>
    <row r="7" spans="1:17" x14ac:dyDescent="0.35">
      <c r="A7" t="str">
        <f>RawData[[#This Row],[Candidates]]</f>
        <v>Manisha</v>
      </c>
      <c r="B7" t="s">
        <v>68</v>
      </c>
      <c r="C7" t="s">
        <v>73</v>
      </c>
      <c r="D7" t="s">
        <v>76</v>
      </c>
      <c r="E7">
        <v>2021</v>
      </c>
      <c r="G7" t="s">
        <v>80</v>
      </c>
      <c r="H7" t="s">
        <v>85</v>
      </c>
      <c r="I7" t="s">
        <v>52</v>
      </c>
      <c r="M7" s="24" t="str">
        <f>RawData[[#This Row],[Candidates]]</f>
        <v>Manisha</v>
      </c>
      <c r="N7" t="s">
        <v>52</v>
      </c>
      <c r="O7" t="s">
        <v>52</v>
      </c>
      <c r="P7" t="s">
        <v>52</v>
      </c>
      <c r="Q7" t="s">
        <v>52</v>
      </c>
    </row>
    <row r="8" spans="1:17" x14ac:dyDescent="0.35">
      <c r="A8" t="str">
        <f>RawData[[#This Row],[Candidates]]</f>
        <v>Karthick Pranav</v>
      </c>
      <c r="B8" t="s">
        <v>67</v>
      </c>
      <c r="C8" t="s">
        <v>74</v>
      </c>
      <c r="D8" t="s">
        <v>76</v>
      </c>
      <c r="E8">
        <v>2021</v>
      </c>
      <c r="G8" t="s">
        <v>80</v>
      </c>
      <c r="H8" t="s">
        <v>85</v>
      </c>
      <c r="I8" t="s">
        <v>52</v>
      </c>
      <c r="M8" s="24" t="str">
        <f>RawData[[#This Row],[Candidates]]</f>
        <v>Karthick Pranav</v>
      </c>
      <c r="N8" t="s">
        <v>52</v>
      </c>
      <c r="O8" t="s">
        <v>52</v>
      </c>
      <c r="P8" t="s">
        <v>52</v>
      </c>
      <c r="Q8" t="s">
        <v>52</v>
      </c>
    </row>
    <row r="9" spans="1:17" x14ac:dyDescent="0.35">
      <c r="A9" t="str">
        <f>RawData[[#This Row],[Candidates]]</f>
        <v>Hariharan</v>
      </c>
      <c r="B9" t="s">
        <v>67</v>
      </c>
      <c r="C9" t="s">
        <v>75</v>
      </c>
      <c r="D9" t="s">
        <v>76</v>
      </c>
      <c r="E9">
        <v>2022</v>
      </c>
      <c r="F9" t="s">
        <v>77</v>
      </c>
      <c r="G9" t="s">
        <v>81</v>
      </c>
      <c r="H9" t="s">
        <v>84</v>
      </c>
      <c r="I9" t="s">
        <v>52</v>
      </c>
      <c r="M9" s="24" t="str">
        <f>RawData[[#This Row],[Candidates]]</f>
        <v>Hariharan</v>
      </c>
      <c r="N9" t="s">
        <v>52</v>
      </c>
      <c r="O9" t="s">
        <v>52</v>
      </c>
      <c r="P9" t="s">
        <v>52</v>
      </c>
      <c r="Q9" t="s">
        <v>52</v>
      </c>
    </row>
  </sheetData>
  <dataValidations count="1">
    <dataValidation type="list" allowBlank="1" showInputMessage="1" showErrorMessage="1" sqref="B2:B9">
      <formula1>"Male,Female"</formula1>
    </dataValidation>
  </dataValidations>
  <hyperlinks>
    <hyperlink ref="I2" r:id="rId1"/>
  </hyperlinks>
  <pageMargins left="0.7" right="0.7" top="0.75" bottom="0.75" header="0.3" footer="0.3"/>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9"/>
  <sheetViews>
    <sheetView workbookViewId="0">
      <selection activeCell="C23" sqref="C23"/>
    </sheetView>
  </sheetViews>
  <sheetFormatPr defaultRowHeight="14.5" x14ac:dyDescent="0.35"/>
  <cols>
    <col min="1" max="1" width="14.26953125" bestFit="1" customWidth="1"/>
    <col min="2" max="2" width="10.90625" bestFit="1" customWidth="1"/>
    <col min="3" max="3" width="19" bestFit="1" customWidth="1"/>
  </cols>
  <sheetData>
    <row r="1" spans="1:3" x14ac:dyDescent="0.35">
      <c r="A1" t="s">
        <v>10</v>
      </c>
      <c r="B1" t="s">
        <v>35</v>
      </c>
      <c r="C1" t="s">
        <v>36</v>
      </c>
    </row>
    <row r="2" spans="1:3" x14ac:dyDescent="0.35">
      <c r="A2" t="str">
        <f>RawData!A:A</f>
        <v>Aiyam</v>
      </c>
      <c r="B2">
        <v>12500</v>
      </c>
      <c r="C2">
        <f>12500-Table7[[#This Row],[Fees Paid]]</f>
        <v>0</v>
      </c>
    </row>
    <row r="3" spans="1:3" x14ac:dyDescent="0.35">
      <c r="A3" t="str">
        <f>RawData!A:A</f>
        <v>Sana</v>
      </c>
      <c r="B3">
        <v>12500</v>
      </c>
      <c r="C3">
        <f>12500-Table7[[#This Row],[Fees Paid]]</f>
        <v>0</v>
      </c>
    </row>
    <row r="4" spans="1:3" x14ac:dyDescent="0.35">
      <c r="A4" t="str">
        <f>RawData!A:A</f>
        <v>Rehan</v>
      </c>
      <c r="B4">
        <v>12500</v>
      </c>
      <c r="C4">
        <f>12500-Table7[[#This Row],[Fees Paid]]</f>
        <v>0</v>
      </c>
    </row>
    <row r="5" spans="1:3" x14ac:dyDescent="0.35">
      <c r="A5" t="str">
        <f>RawData!A:A</f>
        <v>Rohith</v>
      </c>
      <c r="B5">
        <v>8000</v>
      </c>
      <c r="C5">
        <f>12500-Table7[[#This Row],[Fees Paid]]</f>
        <v>4500</v>
      </c>
    </row>
    <row r="6" spans="1:3" x14ac:dyDescent="0.35">
      <c r="A6" t="str">
        <f>RawData!A:A</f>
        <v>Madhav krishna</v>
      </c>
      <c r="B6">
        <v>8000</v>
      </c>
      <c r="C6">
        <f>12500-Table7[[#This Row],[Fees Paid]]</f>
        <v>4500</v>
      </c>
    </row>
    <row r="7" spans="1:3" x14ac:dyDescent="0.35">
      <c r="A7" t="str">
        <f>RawData!A:A</f>
        <v>Manisha</v>
      </c>
      <c r="B7">
        <v>8000</v>
      </c>
      <c r="C7">
        <f>12500-Table7[[#This Row],[Fees Paid]]</f>
        <v>4500</v>
      </c>
    </row>
    <row r="8" spans="1:3" x14ac:dyDescent="0.35">
      <c r="A8" t="str">
        <f>RawData!A:A</f>
        <v>Karthick Pranav</v>
      </c>
      <c r="B8">
        <v>12500</v>
      </c>
      <c r="C8">
        <f>12500-Table7[[#This Row],[Fees Paid]]</f>
        <v>0</v>
      </c>
    </row>
    <row r="9" spans="1:3" x14ac:dyDescent="0.35">
      <c r="A9" t="str">
        <f>RawData!A:A</f>
        <v>Hariharan</v>
      </c>
      <c r="B9">
        <v>8000</v>
      </c>
      <c r="C9">
        <f>12500-Table7[[#This Row],[Fees Paid]]</f>
        <v>4500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3:K11"/>
  <sheetViews>
    <sheetView topLeftCell="C1" workbookViewId="0">
      <selection activeCell="K9" sqref="K9"/>
    </sheetView>
  </sheetViews>
  <sheetFormatPr defaultRowHeight="14.5" x14ac:dyDescent="0.35"/>
  <cols>
    <col min="1" max="1" width="14.26953125" bestFit="1" customWidth="1"/>
    <col min="2" max="2" width="7.26953125" customWidth="1"/>
    <col min="3" max="3" width="6.7265625" customWidth="1"/>
    <col min="4" max="4" width="5.08984375" customWidth="1"/>
    <col min="5" max="5" width="15.90625" bestFit="1" customWidth="1"/>
    <col min="6" max="6" width="14.26953125" bestFit="1" customWidth="1"/>
    <col min="7" max="7" width="13.7265625" customWidth="1"/>
    <col min="8" max="8" width="5.08984375" customWidth="1"/>
    <col min="9" max="9" width="14.08984375" customWidth="1"/>
    <col min="10" max="10" width="14.26953125" bestFit="1" customWidth="1"/>
    <col min="11" max="11" width="26.26953125" customWidth="1"/>
    <col min="12" max="12" width="6.08984375" customWidth="1"/>
    <col min="13" max="13" width="6.36328125" customWidth="1"/>
    <col min="14" max="14" width="4.81640625" customWidth="1"/>
    <col min="15" max="15" width="10.7265625" customWidth="1"/>
    <col min="16" max="16" width="12" customWidth="1"/>
    <col min="17" max="17" width="10.7265625" customWidth="1"/>
    <col min="18" max="25" width="15.81640625" customWidth="1"/>
    <col min="26" max="30" width="15.81640625" bestFit="1" customWidth="1"/>
    <col min="31" max="33" width="15.81640625" customWidth="1"/>
    <col min="34" max="38" width="15.81640625" bestFit="1" customWidth="1"/>
    <col min="39" max="42" width="15.81640625" customWidth="1"/>
    <col min="43" max="45" width="15.81640625" bestFit="1" customWidth="1"/>
    <col min="46" max="51" width="15.81640625" customWidth="1"/>
    <col min="52" max="53" width="15.81640625" bestFit="1" customWidth="1"/>
    <col min="54" max="59" width="20.6328125" bestFit="1" customWidth="1"/>
  </cols>
  <sheetData>
    <row r="3" spans="1:11" x14ac:dyDescent="0.35">
      <c r="A3" s="21" t="s">
        <v>57</v>
      </c>
      <c r="B3" t="s">
        <v>21</v>
      </c>
      <c r="C3" t="s">
        <v>22</v>
      </c>
      <c r="D3" t="s">
        <v>58</v>
      </c>
      <c r="F3" s="21" t="s">
        <v>57</v>
      </c>
      <c r="G3" t="s">
        <v>59</v>
      </c>
      <c r="H3" t="s">
        <v>58</v>
      </c>
      <c r="J3" s="21" t="s">
        <v>57</v>
      </c>
      <c r="K3" t="s">
        <v>104</v>
      </c>
    </row>
    <row r="4" spans="1:11" x14ac:dyDescent="0.35">
      <c r="A4" s="22" t="s">
        <v>2</v>
      </c>
      <c r="B4" s="2">
        <v>8</v>
      </c>
      <c r="C4" s="2">
        <v>0</v>
      </c>
      <c r="D4" s="2">
        <v>8</v>
      </c>
      <c r="F4" s="22" t="s">
        <v>2</v>
      </c>
      <c r="G4" s="2">
        <v>470</v>
      </c>
      <c r="H4" s="2">
        <v>470</v>
      </c>
      <c r="J4" s="22" t="s">
        <v>2</v>
      </c>
      <c r="K4" s="4">
        <v>2</v>
      </c>
    </row>
    <row r="5" spans="1:11" x14ac:dyDescent="0.35">
      <c r="A5" s="22" t="s">
        <v>14</v>
      </c>
      <c r="B5" s="2">
        <v>3</v>
      </c>
      <c r="C5" s="2">
        <v>5</v>
      </c>
      <c r="D5" s="2">
        <v>8</v>
      </c>
      <c r="F5" s="22" t="s">
        <v>14</v>
      </c>
      <c r="G5" s="2">
        <v>120</v>
      </c>
      <c r="H5" s="2">
        <v>470</v>
      </c>
      <c r="J5" s="22" t="s">
        <v>14</v>
      </c>
      <c r="K5" s="4">
        <v>0.63031914893617014</v>
      </c>
    </row>
    <row r="6" spans="1:11" x14ac:dyDescent="0.35">
      <c r="A6" s="22" t="s">
        <v>13</v>
      </c>
      <c r="B6" s="2">
        <v>7</v>
      </c>
      <c r="C6" s="2">
        <v>1</v>
      </c>
      <c r="D6" s="2">
        <v>8</v>
      </c>
      <c r="F6" s="22" t="s">
        <v>13</v>
      </c>
      <c r="G6" s="2">
        <v>370</v>
      </c>
      <c r="H6" s="2">
        <v>470</v>
      </c>
      <c r="J6" s="22" t="s">
        <v>13</v>
      </c>
      <c r="K6" s="4">
        <v>1.6622340425531914</v>
      </c>
    </row>
    <row r="7" spans="1:11" x14ac:dyDescent="0.35">
      <c r="A7" s="22" t="s">
        <v>12</v>
      </c>
      <c r="B7" s="2">
        <v>7</v>
      </c>
      <c r="C7" s="2">
        <v>1</v>
      </c>
      <c r="D7" s="2">
        <v>8</v>
      </c>
      <c r="F7" s="22" t="s">
        <v>12</v>
      </c>
      <c r="G7" s="2">
        <v>370</v>
      </c>
      <c r="H7" s="2">
        <v>470</v>
      </c>
      <c r="J7" s="22" t="s">
        <v>12</v>
      </c>
      <c r="K7" s="4">
        <v>1.6622340425531914</v>
      </c>
    </row>
    <row r="8" spans="1:11" x14ac:dyDescent="0.35">
      <c r="A8" s="22" t="s">
        <v>5</v>
      </c>
      <c r="B8" s="2">
        <v>5</v>
      </c>
      <c r="C8" s="2">
        <v>3</v>
      </c>
      <c r="D8" s="2">
        <v>8</v>
      </c>
      <c r="F8" s="22" t="s">
        <v>5</v>
      </c>
      <c r="G8" s="2">
        <v>270</v>
      </c>
      <c r="H8" s="2">
        <v>470</v>
      </c>
      <c r="J8" s="22" t="s">
        <v>5</v>
      </c>
      <c r="K8" s="4">
        <v>1.199468085106383</v>
      </c>
    </row>
    <row r="9" spans="1:11" x14ac:dyDescent="0.35">
      <c r="A9" s="22" t="s">
        <v>4</v>
      </c>
      <c r="B9" s="2">
        <v>7</v>
      </c>
      <c r="C9" s="2">
        <v>1</v>
      </c>
      <c r="D9" s="2">
        <v>8</v>
      </c>
      <c r="F9" s="22" t="s">
        <v>4</v>
      </c>
      <c r="G9" s="2">
        <v>370</v>
      </c>
      <c r="H9" s="2">
        <v>470</v>
      </c>
      <c r="J9" s="22" t="s">
        <v>4</v>
      </c>
      <c r="K9" s="4">
        <v>1.6622340425531914</v>
      </c>
    </row>
    <row r="10" spans="1:11" x14ac:dyDescent="0.35">
      <c r="A10" s="22" t="s">
        <v>11</v>
      </c>
      <c r="B10" s="2">
        <v>5</v>
      </c>
      <c r="C10" s="2">
        <v>3</v>
      </c>
      <c r="D10" s="2">
        <v>8</v>
      </c>
      <c r="F10" s="22" t="s">
        <v>11</v>
      </c>
      <c r="G10" s="2">
        <v>120</v>
      </c>
      <c r="H10" s="2">
        <v>470</v>
      </c>
      <c r="J10" s="22" t="s">
        <v>11</v>
      </c>
      <c r="K10" s="4">
        <v>0.88031914893617014</v>
      </c>
    </row>
    <row r="11" spans="1:11" x14ac:dyDescent="0.35">
      <c r="A11" s="22" t="s">
        <v>3</v>
      </c>
      <c r="B11" s="2">
        <v>6</v>
      </c>
      <c r="C11" s="2">
        <v>2</v>
      </c>
      <c r="D11" s="2">
        <v>8</v>
      </c>
      <c r="F11" s="22" t="s">
        <v>3</v>
      </c>
      <c r="G11" s="2">
        <v>270</v>
      </c>
      <c r="H11" s="2">
        <v>470</v>
      </c>
      <c r="J11" s="22" t="s">
        <v>3</v>
      </c>
      <c r="K11" s="4">
        <v>1.324468085106383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9:B20"/>
  <sheetViews>
    <sheetView showGridLines="0" workbookViewId="0">
      <selection activeCell="B20" sqref="B20"/>
    </sheetView>
  </sheetViews>
  <sheetFormatPr defaultRowHeight="14.5" x14ac:dyDescent="0.35"/>
  <cols>
    <col min="2" max="3" width="10.26953125" customWidth="1"/>
  </cols>
  <sheetData>
    <row r="19" spans="1:2" x14ac:dyDescent="0.35">
      <c r="A19" s="37" t="s">
        <v>67</v>
      </c>
      <c r="B19" s="38" t="s">
        <v>68</v>
      </c>
    </row>
    <row r="20" spans="1:2" x14ac:dyDescent="0.35">
      <c r="A20" s="35">
        <f>COUNTIF(Profile!B:B,"Male")/(COUNTA(Profile!B:B) - 1)</f>
        <v>0.75</v>
      </c>
      <c r="B20" s="36">
        <f>COUNTIF(Profile!B:B,"Female")/(COUNTA(Profile!B:B) - 1)</f>
        <v>0.25</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24"/>
  <sheetViews>
    <sheetView zoomScale="80" zoomScaleNormal="80" workbookViewId="0">
      <selection activeCell="D5" sqref="A2:P9"/>
    </sheetView>
  </sheetViews>
  <sheetFormatPr defaultRowHeight="14.5" x14ac:dyDescent="0.35"/>
  <cols>
    <col min="1" max="1" width="14.26953125" bestFit="1" customWidth="1"/>
    <col min="2" max="2" width="16" bestFit="1" customWidth="1"/>
    <col min="3" max="3" width="15.54296875" bestFit="1" customWidth="1"/>
    <col min="4" max="4" width="15" bestFit="1" customWidth="1"/>
    <col min="5" max="5" width="21.08984375" style="4" bestFit="1" customWidth="1"/>
    <col min="6" max="6" width="23.54296875" bestFit="1" customWidth="1"/>
    <col min="7" max="7" width="23.1796875" bestFit="1" customWidth="1"/>
    <col min="8" max="8" width="13.26953125" bestFit="1" customWidth="1"/>
    <col min="9" max="9" width="11" bestFit="1" customWidth="1"/>
    <col min="10" max="10" width="16.453125" bestFit="1" customWidth="1"/>
    <col min="11" max="11" width="8.6328125" bestFit="1" customWidth="1"/>
    <col min="12" max="12" width="14.54296875" bestFit="1" customWidth="1"/>
    <col min="13" max="13" width="9.54296875" bestFit="1" customWidth="1"/>
    <col min="14" max="14" width="26.26953125" bestFit="1" customWidth="1"/>
    <col min="15" max="15" width="34.08984375" bestFit="1" customWidth="1"/>
    <col min="16" max="16" width="20.08984375" bestFit="1" customWidth="1"/>
  </cols>
  <sheetData>
    <row r="1" spans="1:16" x14ac:dyDescent="0.35">
      <c r="A1" t="s">
        <v>10</v>
      </c>
      <c r="B1" t="s">
        <v>23</v>
      </c>
      <c r="C1" t="s">
        <v>24</v>
      </c>
      <c r="D1" t="s">
        <v>25</v>
      </c>
      <c r="E1" s="4" t="s">
        <v>27</v>
      </c>
      <c r="F1" s="4" t="s">
        <v>32</v>
      </c>
      <c r="G1" s="4" t="s">
        <v>33</v>
      </c>
      <c r="H1" s="4" t="s">
        <v>34</v>
      </c>
      <c r="I1" s="4" t="s">
        <v>37</v>
      </c>
      <c r="J1" s="4" t="s">
        <v>38</v>
      </c>
      <c r="K1" s="4" t="s">
        <v>43</v>
      </c>
      <c r="L1" s="4" t="s">
        <v>44</v>
      </c>
      <c r="M1" t="s">
        <v>45</v>
      </c>
      <c r="N1" t="s">
        <v>49</v>
      </c>
      <c r="O1" t="s">
        <v>53</v>
      </c>
      <c r="P1" t="s">
        <v>55</v>
      </c>
    </row>
    <row r="2" spans="1:16" x14ac:dyDescent="0.35">
      <c r="A2" t="s">
        <v>2</v>
      </c>
      <c r="B2">
        <f>COUNTIF(Attendance!B2:Z2,"Present")</f>
        <v>8</v>
      </c>
      <c r="C2">
        <f>COUNTIF(Attendance!B2:Z2,"Absent")</f>
        <v>0</v>
      </c>
      <c r="D2">
        <f>SUM(RawData[[#This Row],[Present Count]]+RawData[[#This Row],[Absent Count]])</f>
        <v>8</v>
      </c>
      <c r="E2" s="4">
        <f>RawData[[#This Row],[Present Count]]/RawData[[#This Row],[Total Session]]</f>
        <v>1</v>
      </c>
      <c r="F2" s="2">
        <f>COUNTIF(Tasks!B2:Z2,"Completed")</f>
        <v>4</v>
      </c>
      <c r="G2" s="2">
        <f>COUNTIF(Tasks!B2:Z2,"Not Completed ")</f>
        <v>0</v>
      </c>
      <c r="H2" s="2">
        <f>SUM(RawData[[#This Row],[Task Completed Count]]+RawData[[#This Row],[Task Remaining Count]])</f>
        <v>4</v>
      </c>
      <c r="I2" s="2">
        <f>INDEX(Fees_Details!B:B,MATCH(A:A,Fees_Details!A:A,0))</f>
        <v>12500</v>
      </c>
      <c r="J2" s="2">
        <f>INDEX(Fees_Details!C:C,MATCH(RawData!A:A,Fees_Details!A:A,0))</f>
        <v>0</v>
      </c>
      <c r="K2" s="2">
        <f>SUM(Cand_Credits!B2:Z2)</f>
        <v>470</v>
      </c>
      <c r="L2" s="2">
        <f>Task_Credits!$C$6</f>
        <v>470</v>
      </c>
      <c r="M2" s="2" t="str">
        <f>IF(RawData[[#This Row],[Score]]/RawData[[#This Row],[Total Credits]] &gt;= 0.9, "★★★★★", IF(RawData[[#This Row],[Score]]/RawData[[#This Row],[Total Credits]] &gt;= 0.8, "★★★★", IF(RawData[[#This Row],[Score]]/RawData[[#This Row],[Total Credits]] &gt;= 0.6, "★★★", IF(RawData[[#This Row],[Score]]/RawData[[#This Row],[Total Credits]] &gt;= 0.4, "★★", "★"))))</f>
        <v>★★★★★</v>
      </c>
      <c r="N2" t="str">
        <f>INDEX(Tools!B:B,MATCH(RawData[[#This Row],[Candidates]],Tools!A:A,0))</f>
        <v>MySql,Python,PowerBi,GitHub</v>
      </c>
      <c r="O2" s="2" t="str">
        <f>INDEX(Tools!H:H,MATCH(RawData[[#This Row],[Candidates]],Tools!G:G,0))</f>
        <v>https://github.com/AiyamPerumal0404</v>
      </c>
      <c r="P2" s="4">
        <f t="shared" ref="P2:P9" si="0">SUM(E2,(K2/L2))</f>
        <v>2</v>
      </c>
    </row>
    <row r="3" spans="1:16" x14ac:dyDescent="0.35">
      <c r="A3" t="s">
        <v>3</v>
      </c>
      <c r="B3">
        <f>COUNTIF(Attendance!B3:Z3,"Present")</f>
        <v>6</v>
      </c>
      <c r="C3">
        <f>COUNTIF(Attendance!B3:Z3,"Absent")</f>
        <v>2</v>
      </c>
      <c r="D3">
        <f>SUM(RawData[[#This Row],[Present Count]]+RawData[[#This Row],[Absent Count]])</f>
        <v>8</v>
      </c>
      <c r="E3" s="4">
        <f>RawData[[#This Row],[Present Count]]/RawData[[#This Row],[Total Session]]</f>
        <v>0.75</v>
      </c>
      <c r="F3" s="2">
        <f>COUNTIF(Tasks!B3:Z3,"Completed")</f>
        <v>2</v>
      </c>
      <c r="G3" s="2">
        <f>COUNTIF(Tasks!B3:Z3,"Not Completed ")</f>
        <v>2</v>
      </c>
      <c r="H3" s="2">
        <f>SUM(RawData[[#This Row],[Task Completed Count]]+RawData[[#This Row],[Task Remaining Count]])</f>
        <v>4</v>
      </c>
      <c r="I3" s="2">
        <f>INDEX(Fees_Details!B:B,MATCH(A:A,Fees_Details!A:A,0))</f>
        <v>12500</v>
      </c>
      <c r="J3" s="2">
        <f>INDEX(Fees_Details!C:C,MATCH(RawData!A:A,Fees_Details!A:A,0))</f>
        <v>0</v>
      </c>
      <c r="K3" s="2">
        <f>SUM(Cand_Credits!B3:Z3)</f>
        <v>270</v>
      </c>
      <c r="L3" s="2">
        <f>Task_Credits!$C$6</f>
        <v>470</v>
      </c>
      <c r="M3" s="2" t="str">
        <f>IF(RawData[[#This Row],[Score]]/RawData[[#This Row],[Total Credits]] &gt;= 0.9, "★★★★★", IF(RawData[[#This Row],[Score]]/RawData[[#This Row],[Total Credits]] &gt;= 0.8, "★★★★", IF(RawData[[#This Row],[Score]]/RawData[[#This Row],[Total Credits]] &gt;= 0.6, "★★★", IF(RawData[[#This Row],[Score]]/RawData[[#This Row],[Total Credits]] &gt;= 0.4, "★★", "★"))))</f>
        <v>★★</v>
      </c>
      <c r="N3" t="str">
        <f>INDEX(Tools!B:B,MATCH(RawData[[#This Row],[Candidates]],Tools!A:A,0))</f>
        <v>MySql,Python,PowerBi,GitHub</v>
      </c>
      <c r="O3" s="2" t="str">
        <f>INDEX(Tools!H:H,MATCH(RawData[[#This Row],[Candidates]],Tools!G:G,0))</f>
        <v>Not Updated</v>
      </c>
      <c r="P3" s="4">
        <f t="shared" si="0"/>
        <v>1.324468085106383</v>
      </c>
    </row>
    <row r="4" spans="1:16" x14ac:dyDescent="0.35">
      <c r="A4" t="s">
        <v>4</v>
      </c>
      <c r="B4">
        <f>COUNTIF(Attendance!B4:Z4,"Present")</f>
        <v>7</v>
      </c>
      <c r="C4">
        <f>COUNTIF(Attendance!B4:Z4,"Absent")</f>
        <v>1</v>
      </c>
      <c r="D4">
        <f>SUM(RawData[[#This Row],[Present Count]]+RawData[[#This Row],[Absent Count]])</f>
        <v>8</v>
      </c>
      <c r="E4" s="4">
        <f>RawData[[#This Row],[Present Count]]/RawData[[#This Row],[Total Session]]</f>
        <v>0.875</v>
      </c>
      <c r="F4" s="2">
        <f>COUNTIF(Tasks!B4:Z4,"Completed")</f>
        <v>3</v>
      </c>
      <c r="G4" s="2">
        <f>COUNTIF(Tasks!B4:Z4,"Not Completed ")</f>
        <v>1</v>
      </c>
      <c r="H4" s="2">
        <f>SUM(RawData[[#This Row],[Task Completed Count]]+RawData[[#This Row],[Task Remaining Count]])</f>
        <v>4</v>
      </c>
      <c r="I4" s="2">
        <f>INDEX(Fees_Details!B:B,MATCH(A:A,Fees_Details!A:A,0))</f>
        <v>12500</v>
      </c>
      <c r="J4" s="2">
        <f>INDEX(Fees_Details!C:C,MATCH(RawData!A:A,Fees_Details!A:A,0))</f>
        <v>0</v>
      </c>
      <c r="K4" s="2">
        <f>SUM(Cand_Credits!B4:Z4)</f>
        <v>370</v>
      </c>
      <c r="L4" s="2">
        <f>Task_Credits!$C$6</f>
        <v>470</v>
      </c>
      <c r="M4" s="2" t="str">
        <f>IF(RawData[[#This Row],[Score]]/RawData[[#This Row],[Total Credits]] &gt;= 0.9, "★★★★★", IF(RawData[[#This Row],[Score]]/RawData[[#This Row],[Total Credits]] &gt;= 0.8, "★★★★", IF(RawData[[#This Row],[Score]]/RawData[[#This Row],[Total Credits]] &gt;= 0.6, "★★★", IF(RawData[[#This Row],[Score]]/RawData[[#This Row],[Total Credits]] &gt;= 0.4, "★★", "★"))))</f>
        <v>★★★</v>
      </c>
      <c r="N4" t="str">
        <f>INDEX(Tools!B:B,MATCH(RawData[[#This Row],[Candidates]],Tools!A:A,0))</f>
        <v>MySql,Python,PowerBi,GitHub</v>
      </c>
      <c r="O4" s="2" t="str">
        <f>INDEX(Tools!H:H,MATCH(RawData[[#This Row],[Candidates]],Tools!G:G,0))</f>
        <v>Not Updated</v>
      </c>
      <c r="P4" s="4">
        <f t="shared" si="0"/>
        <v>1.6622340425531914</v>
      </c>
    </row>
    <row r="5" spans="1:16" x14ac:dyDescent="0.35">
      <c r="A5" t="s">
        <v>11</v>
      </c>
      <c r="B5">
        <f>COUNTIF(Attendance!B5:Z5,"Present")</f>
        <v>5</v>
      </c>
      <c r="C5">
        <f>COUNTIF(Attendance!B5:Z5,"Absent")</f>
        <v>3</v>
      </c>
      <c r="D5">
        <f>SUM(RawData[[#This Row],[Present Count]]+RawData[[#This Row],[Absent Count]])</f>
        <v>8</v>
      </c>
      <c r="E5" s="4">
        <f>RawData[[#This Row],[Present Count]]/RawData[[#This Row],[Total Session]]</f>
        <v>0.625</v>
      </c>
      <c r="F5" s="2">
        <f>COUNTIF(Tasks!B5:Z5,"Completed")</f>
        <v>1</v>
      </c>
      <c r="G5" s="2">
        <f>COUNTIF(Tasks!B5:Z5,"Not Completed ")</f>
        <v>3</v>
      </c>
      <c r="H5" s="2">
        <f>SUM(RawData[[#This Row],[Task Completed Count]]+RawData[[#This Row],[Task Remaining Count]])</f>
        <v>4</v>
      </c>
      <c r="I5" s="2">
        <f>INDEX(Fees_Details!B:B,MATCH(A:A,Fees_Details!A:A,0))</f>
        <v>8000</v>
      </c>
      <c r="J5" s="2">
        <f>INDEX(Fees_Details!C:C,MATCH(RawData!A:A,Fees_Details!A:A,0))</f>
        <v>4500</v>
      </c>
      <c r="K5" s="2">
        <f>SUM(Cand_Credits!B5:Z5)</f>
        <v>120</v>
      </c>
      <c r="L5" s="2">
        <f>Task_Credits!$C$6</f>
        <v>470</v>
      </c>
      <c r="M5" s="2" t="str">
        <f>IF(RawData[[#This Row],[Score]]/RawData[[#This Row],[Total Credits]] &gt;= 0.9, "★★★★★", IF(RawData[[#This Row],[Score]]/RawData[[#This Row],[Total Credits]] &gt;= 0.8, "★★★★", IF(RawData[[#This Row],[Score]]/RawData[[#This Row],[Total Credits]] &gt;= 0.6, "★★★", IF(RawData[[#This Row],[Score]]/RawData[[#This Row],[Total Credits]] &gt;= 0.4, "★★", "★"))))</f>
        <v>★</v>
      </c>
      <c r="N5" t="str">
        <f>INDEX(Tools!B:B,MATCH(RawData[[#This Row],[Candidates]],Tools!A:A,0))</f>
        <v>MySql,Python,PowerBi,GitHub</v>
      </c>
      <c r="O5" s="2" t="str">
        <f>INDEX(Tools!H:H,MATCH(RawData[[#This Row],[Candidates]],Tools!G:G,0))</f>
        <v>Not Updated</v>
      </c>
      <c r="P5" s="4">
        <f t="shared" si="0"/>
        <v>0.88031914893617014</v>
      </c>
    </row>
    <row r="6" spans="1:16" x14ac:dyDescent="0.35">
      <c r="A6" t="s">
        <v>12</v>
      </c>
      <c r="B6">
        <f>COUNTIF(Attendance!B6:Z6,"Present")</f>
        <v>7</v>
      </c>
      <c r="C6">
        <f>COUNTIF(Attendance!B6:Z6,"Absent")</f>
        <v>1</v>
      </c>
      <c r="D6">
        <f>SUM(RawData[[#This Row],[Present Count]]+RawData[[#This Row],[Absent Count]])</f>
        <v>8</v>
      </c>
      <c r="E6" s="4">
        <f>RawData[[#This Row],[Present Count]]/RawData[[#This Row],[Total Session]]</f>
        <v>0.875</v>
      </c>
      <c r="F6" s="2">
        <f>COUNTIF(Tasks!B6:Z6,"Completed")</f>
        <v>3</v>
      </c>
      <c r="G6" s="2">
        <f>COUNTIF(Tasks!B6:Z6,"Not Completed ")</f>
        <v>1</v>
      </c>
      <c r="H6" s="2">
        <f>SUM(RawData[[#This Row],[Task Completed Count]]+RawData[[#This Row],[Task Remaining Count]])</f>
        <v>4</v>
      </c>
      <c r="I6" s="2">
        <f>INDEX(Fees_Details!B:B,MATCH(A:A,Fees_Details!A:A,0))</f>
        <v>8000</v>
      </c>
      <c r="J6" s="2">
        <f>INDEX(Fees_Details!C:C,MATCH(RawData!A:A,Fees_Details!A:A,0))</f>
        <v>4500</v>
      </c>
      <c r="K6" s="2">
        <f>SUM(Cand_Credits!B6:Z6)</f>
        <v>370</v>
      </c>
      <c r="L6" s="2">
        <f>Task_Credits!$C$6</f>
        <v>470</v>
      </c>
      <c r="M6" s="2" t="str">
        <f>IF(RawData[[#This Row],[Score]]/RawData[[#This Row],[Total Credits]] &gt;= 0.9, "★★★★★", IF(RawData[[#This Row],[Score]]/RawData[[#This Row],[Total Credits]] &gt;= 0.8, "★★★★", IF(RawData[[#This Row],[Score]]/RawData[[#This Row],[Total Credits]] &gt;= 0.6, "★★★", IF(RawData[[#This Row],[Score]]/RawData[[#This Row],[Total Credits]] &gt;= 0.4, "★★", "★"))))</f>
        <v>★★★</v>
      </c>
      <c r="N6" t="str">
        <f>INDEX(Tools!B:B,MATCH(RawData[[#This Row],[Candidates]],Tools!A:A,0))</f>
        <v>MySql,Python,PowerBi,GitHub</v>
      </c>
      <c r="O6" s="2" t="str">
        <f>INDEX(Tools!H:H,MATCH(RawData[[#This Row],[Candidates]],Tools!G:G,0))</f>
        <v>Not Updated</v>
      </c>
      <c r="P6" s="4">
        <f t="shared" si="0"/>
        <v>1.6622340425531914</v>
      </c>
    </row>
    <row r="7" spans="1:16" x14ac:dyDescent="0.35">
      <c r="A7" t="s">
        <v>5</v>
      </c>
      <c r="B7">
        <f>COUNTIF(Attendance!B7:Z7,"Present")</f>
        <v>5</v>
      </c>
      <c r="C7">
        <f>COUNTIF(Attendance!B7:Z7,"Absent")</f>
        <v>3</v>
      </c>
      <c r="D7">
        <f>SUM(RawData[[#This Row],[Present Count]]+RawData[[#This Row],[Absent Count]])</f>
        <v>8</v>
      </c>
      <c r="E7" s="4">
        <f>RawData[[#This Row],[Present Count]]/RawData[[#This Row],[Total Session]]</f>
        <v>0.625</v>
      </c>
      <c r="F7" s="2">
        <f>COUNTIF(Tasks!B7:Z7,"Completed")</f>
        <v>2</v>
      </c>
      <c r="G7" s="2">
        <f>COUNTIF(Tasks!B7:Z7,"Not Completed ")</f>
        <v>2</v>
      </c>
      <c r="H7" s="2">
        <f>SUM(RawData[[#This Row],[Task Completed Count]]+RawData[[#This Row],[Task Remaining Count]])</f>
        <v>4</v>
      </c>
      <c r="I7" s="2">
        <f>INDEX(Fees_Details!B:B,MATCH(A:A,Fees_Details!A:A,0))</f>
        <v>8000</v>
      </c>
      <c r="J7" s="2">
        <f>INDEX(Fees_Details!C:C,MATCH(RawData!A:A,Fees_Details!A:A,0))</f>
        <v>4500</v>
      </c>
      <c r="K7" s="2">
        <f>SUM(Cand_Credits!B7:Z7)</f>
        <v>270</v>
      </c>
      <c r="L7" s="2">
        <f>Task_Credits!$C$6</f>
        <v>470</v>
      </c>
      <c r="M7" s="2" t="str">
        <f>IF(RawData[[#This Row],[Score]]/RawData[[#This Row],[Total Credits]] &gt;= 0.9, "★★★★★", IF(RawData[[#This Row],[Score]]/RawData[[#This Row],[Total Credits]] &gt;= 0.8, "★★★★", IF(RawData[[#This Row],[Score]]/RawData[[#This Row],[Total Credits]] &gt;= 0.6, "★★★", IF(RawData[[#This Row],[Score]]/RawData[[#This Row],[Total Credits]] &gt;= 0.4, "★★", "★"))))</f>
        <v>★★</v>
      </c>
      <c r="N7" t="str">
        <f>INDEX(Tools!B:B,MATCH(RawData[[#This Row],[Candidates]],Tools!A:A,0))</f>
        <v>MySql,Python,PowerBi,GitHub</v>
      </c>
      <c r="O7" s="2" t="str">
        <f>INDEX(Tools!H:H,MATCH(RawData[[#This Row],[Candidates]],Tools!G:G,0))</f>
        <v>Not Updated</v>
      </c>
      <c r="P7" s="4">
        <f t="shared" si="0"/>
        <v>1.199468085106383</v>
      </c>
    </row>
    <row r="8" spans="1:16" x14ac:dyDescent="0.35">
      <c r="A8" t="s">
        <v>13</v>
      </c>
      <c r="B8">
        <f>COUNTIF(Attendance!B8:Z8,"Present")</f>
        <v>7</v>
      </c>
      <c r="C8">
        <f>COUNTIF(Attendance!B8:Z8,"Absent")</f>
        <v>1</v>
      </c>
      <c r="D8">
        <f>SUM(RawData[[#This Row],[Present Count]]+RawData[[#This Row],[Absent Count]])</f>
        <v>8</v>
      </c>
      <c r="E8" s="4">
        <f>RawData[[#This Row],[Present Count]]/RawData[[#This Row],[Total Session]]</f>
        <v>0.875</v>
      </c>
      <c r="F8" s="2">
        <f>COUNTIF(Tasks!B8:Z8,"Completed")</f>
        <v>3</v>
      </c>
      <c r="G8" s="2">
        <f>COUNTIF(Tasks!B8:Z8,"Not Completed ")</f>
        <v>1</v>
      </c>
      <c r="H8" s="2">
        <f>SUM(RawData[[#This Row],[Task Completed Count]]+RawData[[#This Row],[Task Remaining Count]])</f>
        <v>4</v>
      </c>
      <c r="I8" s="2">
        <f>INDEX(Fees_Details!B:B,MATCH(A:A,Fees_Details!A:A,0))</f>
        <v>12500</v>
      </c>
      <c r="J8" s="2">
        <f>INDEX(Fees_Details!C:C,MATCH(RawData!A:A,Fees_Details!A:A,0))</f>
        <v>0</v>
      </c>
      <c r="K8" s="2">
        <f>SUM(Cand_Credits!B8:Z8)</f>
        <v>370</v>
      </c>
      <c r="L8" s="2">
        <f>Task_Credits!$C$6</f>
        <v>470</v>
      </c>
      <c r="M8" s="2" t="str">
        <f>IF(RawData[[#This Row],[Score]]/RawData[[#This Row],[Total Credits]] &gt;= 0.9, "★★★★★", IF(RawData[[#This Row],[Score]]/RawData[[#This Row],[Total Credits]] &gt;= 0.8, "★★★★", IF(RawData[[#This Row],[Score]]/RawData[[#This Row],[Total Credits]] &gt;= 0.6, "★★★", IF(RawData[[#This Row],[Score]]/RawData[[#This Row],[Total Credits]] &gt;= 0.4, "★★", "★"))))</f>
        <v>★★★</v>
      </c>
      <c r="N8" t="str">
        <f>INDEX(Tools!B:B,MATCH(RawData[[#This Row],[Candidates]],Tools!A:A,0))</f>
        <v>MySql,Python,PowerBi,GitHub</v>
      </c>
      <c r="O8" s="2" t="str">
        <f>INDEX(Tools!H:H,MATCH(RawData[[#This Row],[Candidates]],Tools!G:G,0))</f>
        <v>Not Updated</v>
      </c>
      <c r="P8" s="4">
        <f t="shared" si="0"/>
        <v>1.6622340425531914</v>
      </c>
    </row>
    <row r="9" spans="1:16" x14ac:dyDescent="0.35">
      <c r="A9" t="s">
        <v>14</v>
      </c>
      <c r="B9">
        <f>COUNTIF(Attendance!B9:Z9,"Present")</f>
        <v>3</v>
      </c>
      <c r="C9">
        <f>COUNTIF(Attendance!B9:Z9,"Absent")</f>
        <v>5</v>
      </c>
      <c r="D9">
        <f>SUM(RawData[[#This Row],[Present Count]]+RawData[[#This Row],[Absent Count]])</f>
        <v>8</v>
      </c>
      <c r="E9" s="4">
        <f>RawData[[#This Row],[Present Count]]/RawData[[#This Row],[Total Session]]</f>
        <v>0.375</v>
      </c>
      <c r="F9" s="2">
        <f>COUNTIF(Tasks!B9:Z9,"Completed")</f>
        <v>1</v>
      </c>
      <c r="G9" s="2">
        <f>COUNTIF(Tasks!B9:Z9,"Not Completed ")</f>
        <v>3</v>
      </c>
      <c r="H9" s="2">
        <f>SUM(RawData[[#This Row],[Task Completed Count]]+RawData[[#This Row],[Task Remaining Count]])</f>
        <v>4</v>
      </c>
      <c r="I9" s="2">
        <f>INDEX(Fees_Details!B:B,MATCH(A:A,Fees_Details!A:A,0))</f>
        <v>8000</v>
      </c>
      <c r="J9" s="2">
        <f>INDEX(Fees_Details!C:C,MATCH(RawData!A:A,Fees_Details!A:A,0))</f>
        <v>4500</v>
      </c>
      <c r="K9" s="2">
        <f>SUM(Cand_Credits!B9:Z9)</f>
        <v>120</v>
      </c>
      <c r="L9" s="2">
        <f>Task_Credits!$C$6</f>
        <v>470</v>
      </c>
      <c r="M9" s="2" t="str">
        <f>IF(RawData[[#This Row],[Score]]/RawData[[#This Row],[Total Credits]] &gt;= 0.9, "★★★★★", IF(RawData[[#This Row],[Score]]/RawData[[#This Row],[Total Credits]] &gt;= 0.8, "★★★★", IF(RawData[[#This Row],[Score]]/RawData[[#This Row],[Total Credits]] &gt;= 0.6, "★★★", IF(RawData[[#This Row],[Score]]/RawData[[#This Row],[Total Credits]] &gt;= 0.4, "★★", "★"))))</f>
        <v>★</v>
      </c>
      <c r="N9" t="str">
        <f>INDEX(Tools!B:B,MATCH(RawData[[#This Row],[Candidates]],Tools!A:A,0))</f>
        <v>MySql,Python,PowerBi,GitHub</v>
      </c>
      <c r="O9" s="2" t="str">
        <f>INDEX(Tools!H:H,MATCH(RawData[[#This Row],[Candidates]],Tools!G:G,0))</f>
        <v>Not Updated</v>
      </c>
      <c r="P9" s="4">
        <f t="shared" si="0"/>
        <v>0.63031914893617014</v>
      </c>
    </row>
    <row r="24" spans="7:7" x14ac:dyDescent="0.35">
      <c r="G24" s="4"/>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9"/>
  <sheetViews>
    <sheetView workbookViewId="0">
      <selection activeCell="H13" sqref="H13"/>
    </sheetView>
  </sheetViews>
  <sheetFormatPr defaultRowHeight="14.5" x14ac:dyDescent="0.35"/>
  <cols>
    <col min="1" max="1" width="14.26953125" bestFit="1" customWidth="1"/>
    <col min="2" max="2" width="26.08984375" bestFit="1" customWidth="1"/>
    <col min="3" max="3" width="6.54296875" bestFit="1" customWidth="1"/>
    <col min="4" max="4" width="7.7265625" bestFit="1" customWidth="1"/>
    <col min="5" max="5" width="6.453125" bestFit="1" customWidth="1"/>
    <col min="7" max="7" width="14.26953125" bestFit="1" customWidth="1"/>
    <col min="8" max="8" width="34.08984375" bestFit="1" customWidth="1"/>
  </cols>
  <sheetData>
    <row r="1" spans="1:8" x14ac:dyDescent="0.35">
      <c r="A1" t="s">
        <v>10</v>
      </c>
      <c r="B1" t="s">
        <v>47</v>
      </c>
      <c r="G1" t="s">
        <v>10</v>
      </c>
      <c r="H1" t="s">
        <v>50</v>
      </c>
    </row>
    <row r="2" spans="1:8" x14ac:dyDescent="0.35">
      <c r="A2" t="str">
        <f>RawData[[#This Row],[Candidates]]</f>
        <v>Aiyam</v>
      </c>
      <c r="B2" t="s">
        <v>48</v>
      </c>
      <c r="G2" t="str">
        <f>RawData[[#This Row],[Candidates]]</f>
        <v>Aiyam</v>
      </c>
      <c r="H2" s="9" t="s">
        <v>51</v>
      </c>
    </row>
    <row r="3" spans="1:8" x14ac:dyDescent="0.35">
      <c r="A3" t="str">
        <f>RawData[[#This Row],[Candidates]]</f>
        <v>Sana</v>
      </c>
      <c r="B3" t="s">
        <v>48</v>
      </c>
      <c r="G3" t="str">
        <f>RawData[[#This Row],[Candidates]]</f>
        <v>Sana</v>
      </c>
      <c r="H3" t="s">
        <v>52</v>
      </c>
    </row>
    <row r="4" spans="1:8" x14ac:dyDescent="0.35">
      <c r="A4" t="str">
        <f>RawData[[#This Row],[Candidates]]</f>
        <v>Rehan</v>
      </c>
      <c r="B4" t="s">
        <v>48</v>
      </c>
      <c r="G4" t="str">
        <f>RawData[[#This Row],[Candidates]]</f>
        <v>Rehan</v>
      </c>
      <c r="H4" t="s">
        <v>52</v>
      </c>
    </row>
    <row r="5" spans="1:8" x14ac:dyDescent="0.35">
      <c r="A5" t="str">
        <f>RawData[[#This Row],[Candidates]]</f>
        <v>Rohith</v>
      </c>
      <c r="B5" t="s">
        <v>48</v>
      </c>
      <c r="G5" t="str">
        <f>RawData[[#This Row],[Candidates]]</f>
        <v>Rohith</v>
      </c>
      <c r="H5" t="s">
        <v>52</v>
      </c>
    </row>
    <row r="6" spans="1:8" x14ac:dyDescent="0.35">
      <c r="A6" t="str">
        <f>RawData[[#This Row],[Candidates]]</f>
        <v>Madhav krishna</v>
      </c>
      <c r="B6" t="s">
        <v>48</v>
      </c>
      <c r="G6" t="str">
        <f>RawData[[#This Row],[Candidates]]</f>
        <v>Madhav krishna</v>
      </c>
      <c r="H6" t="s">
        <v>52</v>
      </c>
    </row>
    <row r="7" spans="1:8" x14ac:dyDescent="0.35">
      <c r="A7" t="str">
        <f>RawData[[#This Row],[Candidates]]</f>
        <v>Manisha</v>
      </c>
      <c r="B7" t="s">
        <v>48</v>
      </c>
      <c r="G7" t="str">
        <f>RawData[[#This Row],[Candidates]]</f>
        <v>Manisha</v>
      </c>
      <c r="H7" t="s">
        <v>52</v>
      </c>
    </row>
    <row r="8" spans="1:8" x14ac:dyDescent="0.35">
      <c r="A8" t="str">
        <f>RawData[[#This Row],[Candidates]]</f>
        <v>Karthick Pranav</v>
      </c>
      <c r="B8" t="s">
        <v>48</v>
      </c>
      <c r="G8" t="str">
        <f>RawData[[#This Row],[Candidates]]</f>
        <v>Karthick Pranav</v>
      </c>
      <c r="H8" t="s">
        <v>52</v>
      </c>
    </row>
    <row r="9" spans="1:8" x14ac:dyDescent="0.35">
      <c r="A9" t="str">
        <f>RawData[[#This Row],[Candidates]]</f>
        <v>Hariharan</v>
      </c>
      <c r="B9" t="s">
        <v>48</v>
      </c>
      <c r="G9" t="str">
        <f>RawData[[#This Row],[Candidates]]</f>
        <v>Hariharan</v>
      </c>
      <c r="H9" t="s">
        <v>52</v>
      </c>
    </row>
  </sheetData>
  <hyperlinks>
    <hyperlink ref="H2" r:id="rId1"/>
  </hyperlinks>
  <pageMargins left="0.7" right="0.7" top="0.75" bottom="0.75" header="0.3" footer="0.3"/>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Welcome</vt:lpstr>
      <vt:lpstr>Queries</vt:lpstr>
      <vt:lpstr>UserData</vt:lpstr>
      <vt:lpstr>Attendance</vt:lpstr>
      <vt:lpstr>Tasks</vt:lpstr>
      <vt:lpstr>Cand_Credits</vt:lpstr>
      <vt:lpstr>Task_Credits</vt:lpstr>
      <vt:lpstr>Cand_Dashboard</vt:lpstr>
      <vt:lpstr>Profile</vt:lpstr>
      <vt:lpstr>Fees_Details</vt:lpstr>
      <vt:lpstr>PIVOT</vt:lpstr>
      <vt:lpstr>Charts</vt:lpstr>
      <vt:lpstr>RawData</vt:lpstr>
      <vt:lpstr>Tools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AIYAM PERUMAL</dc:creator>
  <cp:lastModifiedBy>AIYAM PERUMAL</cp:lastModifiedBy>
  <dcterms:created xsi:type="dcterms:W3CDTF">2023-08-07T05:53:42Z</dcterms:created>
  <dcterms:modified xsi:type="dcterms:W3CDTF">2023-09-09T07:40:11Z</dcterms:modified>
</cp:coreProperties>
</file>